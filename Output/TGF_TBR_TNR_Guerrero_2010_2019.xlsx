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+0.00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1"/>
    </font>
    <font>
      <name val="Arial"/>
      <b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3F2FD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7B1A1A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3" fontId="6" fillId="7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2" fontId="6" fillId="7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2" fontId="6" fillId="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6" fillId="5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6" fontId="6" fillId="8" borderId="1" applyAlignment="1" pivotButton="0" quotePrefix="0" xfId="0">
      <alignment horizontal="center" vertical="center" wrapText="1"/>
    </xf>
    <xf numFmtId="1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13" customWidth="1" min="5" max="5"/>
    <col width="14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2" customWidth="1" min="12" max="12"/>
  </cols>
  <sheetData>
    <row r="1" ht="26" customHeight="1">
      <c r="A1" s="1" t="inlineStr">
        <is>
          <t>Medidas sinteticas de fecundidad — Guerrero 2010</t>
        </is>
      </c>
    </row>
    <row r="2" ht="6" customHeight="1"/>
    <row r="3" ht="18" customHeight="1">
      <c r="A3" s="2" t="inlineStr">
        <is>
          <t>K:</t>
        </is>
      </c>
      <c r="B3" s="3" t="n">
        <v>0.4878048780487805</v>
      </c>
      <c r="C3" s="4">
        <f> 100/205</f>
        <v/>
      </c>
      <c r="D3" s="4" t="inlineStr">
        <is>
          <t>(105 hombres : 100 mujeres al nacer)</t>
        </is>
      </c>
      <c r="H3" s="2" t="inlineStr">
        <is>
          <t>l0:</t>
        </is>
      </c>
      <c r="I3" s="5" t="n">
        <v>100000</v>
      </c>
      <c r="J3" s="4" t="inlineStr">
        <is>
          <t>raiz de la tabla de vida femenina</t>
        </is>
      </c>
    </row>
    <row r="4" ht="6" customHeight="1"/>
    <row r="5" ht="14" customHeight="1">
      <c r="A5" s="6" t="inlineStr">
        <is>
          <t>AZUL=inputs directos | NEGRO=formulas | TGF=5*SUMf(x,5) | TBR=TGF*K | TNR=5*K*SUM[f(x,5)*Lx/(5*l0)]</t>
        </is>
      </c>
    </row>
    <row r="6" ht="6" customHeight="1"/>
    <row r="7" ht="52" customHeight="1">
      <c r="A7" s="7" t="inlineStr">
        <is>
          <t>Grupo
edad</t>
        </is>
      </c>
      <c r="B7" s="7" t="inlineStr">
        <is>
          <t>Punto
medio</t>
        </is>
      </c>
      <c r="C7" s="7" t="inlineStr">
        <is>
          <t>x</t>
        </is>
      </c>
      <c r="D7" s="7" t="inlineStr">
        <is>
          <t>x+n</t>
        </is>
      </c>
      <c r="E7" s="7" t="inlineStr">
        <is>
          <t>Nacimientos
(B) INEGI</t>
        </is>
      </c>
      <c r="F7" s="7" t="inlineStr">
        <is>
          <t>Pob.fem.
CONAPO</t>
        </is>
      </c>
      <c r="G7" s="7" t="inlineStr">
        <is>
          <t>f(x,5)
=B/N</t>
        </is>
      </c>
      <c r="H7" s="7" t="inlineStr">
        <is>
          <t>f(x,5)
x1000</t>
        </is>
      </c>
      <c r="I7" s="7" t="inlineStr">
        <is>
          <t>f(x,5)fem
=f*K</t>
        </is>
      </c>
      <c r="J7" s="7" t="inlineStr">
        <is>
          <t>L(x)fem
tabla vida</t>
        </is>
      </c>
      <c r="K7" s="7" t="inlineStr">
        <is>
          <t>x+2.5P0
=Lx/5l0</t>
        </is>
      </c>
      <c r="L7" s="7" t="inlineStr">
        <is>
          <t>Prod.*5
=col9*col11*5</t>
        </is>
      </c>
    </row>
    <row r="8">
      <c r="A8" s="8" t="inlineStr">
        <is>
          <t>15-19</t>
        </is>
      </c>
      <c r="B8" s="9" t="n">
        <v>17.5</v>
      </c>
      <c r="C8" s="10" t="n">
        <v>15</v>
      </c>
      <c r="D8" s="10" t="n">
        <v>19</v>
      </c>
      <c r="E8" s="11" t="n">
        <v>19879</v>
      </c>
      <c r="F8" s="11" t="n">
        <v>190513</v>
      </c>
      <c r="G8" s="12">
        <f>E8/F8</f>
        <v/>
      </c>
      <c r="H8" s="13">
        <f>G8*1000</f>
        <v/>
      </c>
      <c r="I8" s="12">
        <f>G8*$B$3</f>
        <v/>
      </c>
      <c r="J8" s="11" t="n">
        <v>487500</v>
      </c>
      <c r="K8" s="12">
        <f>J8/(5*$I$3)</f>
        <v/>
      </c>
      <c r="L8" s="12">
        <f>I8*K8*5</f>
        <v/>
      </c>
    </row>
    <row r="9">
      <c r="A9" s="14" t="inlineStr">
        <is>
          <t>20-24</t>
        </is>
      </c>
      <c r="B9" s="15" t="n">
        <v>22.5</v>
      </c>
      <c r="C9" s="16" t="n">
        <v>20</v>
      </c>
      <c r="D9" s="16" t="n">
        <v>24</v>
      </c>
      <c r="E9" s="17" t="n">
        <v>30061</v>
      </c>
      <c r="F9" s="17" t="n">
        <v>161775</v>
      </c>
      <c r="G9" s="18">
        <f>E9/F9</f>
        <v/>
      </c>
      <c r="H9" s="19">
        <f>G9*1000</f>
        <v/>
      </c>
      <c r="I9" s="18">
        <f>G9*$B$3</f>
        <v/>
      </c>
      <c r="J9" s="17" t="n">
        <v>486800</v>
      </c>
      <c r="K9" s="18">
        <f>J9/(5*$I$3)</f>
        <v/>
      </c>
      <c r="L9" s="18">
        <f>I9*K9*5</f>
        <v/>
      </c>
    </row>
    <row r="10">
      <c r="A10" s="8" t="inlineStr">
        <is>
          <t>25-29</t>
        </is>
      </c>
      <c r="B10" s="9" t="n">
        <v>27.5</v>
      </c>
      <c r="C10" s="10" t="n">
        <v>25</v>
      </c>
      <c r="D10" s="10" t="n">
        <v>29</v>
      </c>
      <c r="E10" s="11" t="n">
        <v>25024</v>
      </c>
      <c r="F10" s="11" t="n">
        <v>134995</v>
      </c>
      <c r="G10" s="12">
        <f>E10/F10</f>
        <v/>
      </c>
      <c r="H10" s="13">
        <f>G10*1000</f>
        <v/>
      </c>
      <c r="I10" s="12">
        <f>G10*$B$3</f>
        <v/>
      </c>
      <c r="J10" s="11" t="n">
        <v>485900</v>
      </c>
      <c r="K10" s="12">
        <f>J10/(5*$I$3)</f>
        <v/>
      </c>
      <c r="L10" s="12">
        <f>I10*K10*5</f>
        <v/>
      </c>
    </row>
    <row r="11">
      <c r="A11" s="14" t="inlineStr">
        <is>
          <t>30-34</t>
        </is>
      </c>
      <c r="B11" s="15" t="n">
        <v>32.5</v>
      </c>
      <c r="C11" s="16" t="n">
        <v>30</v>
      </c>
      <c r="D11" s="16" t="n">
        <v>34</v>
      </c>
      <c r="E11" s="17" t="n">
        <v>16984</v>
      </c>
      <c r="F11" s="17" t="n">
        <v>119198</v>
      </c>
      <c r="G11" s="18">
        <f>E11/F11</f>
        <v/>
      </c>
      <c r="H11" s="19">
        <f>G11*1000</f>
        <v/>
      </c>
      <c r="I11" s="18">
        <f>G11*$B$3</f>
        <v/>
      </c>
      <c r="J11" s="17" t="n">
        <v>484700</v>
      </c>
      <c r="K11" s="18">
        <f>J11/(5*$I$3)</f>
        <v/>
      </c>
      <c r="L11" s="18">
        <f>I11*K11*5</f>
        <v/>
      </c>
    </row>
    <row r="12">
      <c r="A12" s="8" t="inlineStr">
        <is>
          <t>35-39</t>
        </is>
      </c>
      <c r="B12" s="9" t="n">
        <v>37.5</v>
      </c>
      <c r="C12" s="10" t="n">
        <v>35</v>
      </c>
      <c r="D12" s="10" t="n">
        <v>39</v>
      </c>
      <c r="E12" s="11" t="n">
        <v>9094</v>
      </c>
      <c r="F12" s="11" t="n">
        <v>110730</v>
      </c>
      <c r="G12" s="12">
        <f>E12/F12</f>
        <v/>
      </c>
      <c r="H12" s="13">
        <f>G12*1000</f>
        <v/>
      </c>
      <c r="I12" s="12">
        <f>G12*$B$3</f>
        <v/>
      </c>
      <c r="J12" s="11" t="n">
        <v>482800</v>
      </c>
      <c r="K12" s="12">
        <f>J12/(5*$I$3)</f>
        <v/>
      </c>
      <c r="L12" s="12">
        <f>I12*K12*5</f>
        <v/>
      </c>
    </row>
    <row r="13">
      <c r="A13" s="14" t="inlineStr">
        <is>
          <t>40-44</t>
        </is>
      </c>
      <c r="B13" s="15" t="n">
        <v>42.5</v>
      </c>
      <c r="C13" s="16" t="n">
        <v>40</v>
      </c>
      <c r="D13" s="16" t="n">
        <v>44</v>
      </c>
      <c r="E13" s="17" t="n">
        <v>2866</v>
      </c>
      <c r="F13" s="17" t="n">
        <v>97160</v>
      </c>
      <c r="G13" s="18">
        <f>E13/F13</f>
        <v/>
      </c>
      <c r="H13" s="19">
        <f>G13*1000</f>
        <v/>
      </c>
      <c r="I13" s="18">
        <f>G13*$B$3</f>
        <v/>
      </c>
      <c r="J13" s="17" t="n">
        <v>479900</v>
      </c>
      <c r="K13" s="18">
        <f>J13/(5*$I$3)</f>
        <v/>
      </c>
      <c r="L13" s="18">
        <f>I13*K13*5</f>
        <v/>
      </c>
    </row>
    <row r="14">
      <c r="A14" s="8" t="inlineStr">
        <is>
          <t>45-49</t>
        </is>
      </c>
      <c r="B14" s="9" t="n">
        <v>47.5</v>
      </c>
      <c r="C14" s="10" t="n">
        <v>45</v>
      </c>
      <c r="D14" s="10" t="n">
        <v>49</v>
      </c>
      <c r="E14" s="11" t="n">
        <v>510</v>
      </c>
      <c r="F14" s="11" t="n">
        <v>85247</v>
      </c>
      <c r="G14" s="12">
        <f>E14/F14</f>
        <v/>
      </c>
      <c r="H14" s="13">
        <f>G14*1000</f>
        <v/>
      </c>
      <c r="I14" s="12">
        <f>G14*$B$3</f>
        <v/>
      </c>
      <c r="J14" s="11" t="n">
        <v>474600</v>
      </c>
      <c r="K14" s="12">
        <f>J14/(5*$I$3)</f>
        <v/>
      </c>
      <c r="L14" s="12">
        <f>I14*K14*5</f>
        <v/>
      </c>
    </row>
    <row r="15" ht="18" customHeight="1">
      <c r="A15" s="20" t="inlineStr">
        <is>
          <t>TOTAL</t>
        </is>
      </c>
      <c r="B15" s="21" t="inlineStr">
        <is>
          <t>—</t>
        </is>
      </c>
      <c r="C15" s="21" t="inlineStr">
        <is>
          <t>—</t>
        </is>
      </c>
      <c r="D15" s="21" t="inlineStr">
        <is>
          <t>—</t>
        </is>
      </c>
      <c r="E15" s="22">
        <f>SUM(E8:E14)</f>
        <v/>
      </c>
      <c r="F15" s="22">
        <f>SUM(F8:F14)</f>
        <v/>
      </c>
      <c r="G15" s="23">
        <f>SUM(G8:G14)</f>
        <v/>
      </c>
      <c r="H15" s="24">
        <f>SUM(H8:H14)</f>
        <v/>
      </c>
      <c r="I15" s="23">
        <f>SUM(I8:I14)</f>
        <v/>
      </c>
      <c r="J15" s="21" t="inlineStr">
        <is>
          <t>—</t>
        </is>
      </c>
      <c r="K15" s="21" t="inlineStr">
        <is>
          <t>—</t>
        </is>
      </c>
      <c r="L15" s="23">
        <f>SUM(L8:L14)</f>
        <v/>
      </c>
    </row>
    <row r="17">
      <c r="A17" s="25" t="inlineStr">
        <is>
          <t>TGF = 5 * SUM f(x,5):</t>
        </is>
      </c>
      <c r="G17" s="26">
        <f>SUM(G8:G14)*5</f>
        <v/>
      </c>
      <c r="H17" s="4" t="inlineStr">
        <is>
          <t>hijos por mujer — cohorte hipotetica sin mortalidad (2010)</t>
        </is>
      </c>
    </row>
    <row r="18">
      <c r="A18" s="27" t="inlineStr">
        <is>
          <t>TBR = TGF * K:</t>
        </is>
      </c>
      <c r="G18" s="28">
        <f>G17*$B$3</f>
        <v/>
      </c>
      <c r="H18" s="29" t="inlineStr">
        <is>
          <t>hijas por mujer sin mortalidad | TBR = TGF x 0.4878</t>
        </is>
      </c>
    </row>
    <row r="19">
      <c r="A19" s="30" t="inlineStr">
        <is>
          <t>TNR = 5*K*SUM[f(x,5)*x+2.5P0]:</t>
        </is>
      </c>
      <c r="H19" s="31" t="inlineStr">
        <is>
          <t>hijas/mujer con mortalidad | TNR=1 reemplazo | &gt;1 crece | &lt;1 decrece</t>
        </is>
      </c>
      <c r="L19" s="32">
        <f>L15</f>
        <v/>
      </c>
    </row>
    <row r="21">
      <c r="A21" s="33" t="inlineStr">
        <is>
          <t>Notas metodologicas:</t>
        </is>
      </c>
    </row>
    <row r="22">
      <c r="A22" s="34" t="inlineStr">
        <is>
          <t>Nacimientos (col E): INEGI — Nacimientos Registrados Guerrero 2010</t>
        </is>
      </c>
    </row>
    <row r="23">
      <c r="A23" s="34" t="inlineStr">
        <is>
          <t>Poblacion femenina (col F): CONAPO — Proyecciones exponencial mitad de año 2010</t>
        </is>
      </c>
    </row>
    <row r="24">
      <c r="A24" s="34" t="inlineStr">
        <is>
          <t>L(x)fem (col J): tabla de vida de periodo femenina Guerrero 2010 (l0=100,000)</t>
        </is>
      </c>
    </row>
    <row r="25">
      <c r="A25" s="34" t="inlineStr">
        <is>
          <t>K = 100/205 = 0.4878 — proporcion teorica de nacimientos femeninos (105H:100M)</t>
        </is>
      </c>
    </row>
    <row r="26">
      <c r="A26" s="34" t="inlineStr">
        <is>
          <t>x+2.5P0(f) = Lx/(5*l0) — probabilidad de sobrevivir al PUNTO MEDIO del intervalo</t>
        </is>
      </c>
    </row>
    <row r="27">
      <c r="A27" s="34" t="inlineStr">
        <is>
          <t>Fuente metodologica: CELADE (2022). Medidas sinteticas de la fecundidad.</t>
        </is>
      </c>
    </row>
  </sheetData>
  <mergeCells count="17">
    <mergeCell ref="A26:L26"/>
    <mergeCell ref="A24:L24"/>
    <mergeCell ref="A17:D17"/>
    <mergeCell ref="H17:L17"/>
    <mergeCell ref="A18:D18"/>
    <mergeCell ref="A25:L25"/>
    <mergeCell ref="A1:L1"/>
    <mergeCell ref="A5:L5"/>
    <mergeCell ref="A23:L23"/>
    <mergeCell ref="H18:L18"/>
    <mergeCell ref="D3:F3"/>
    <mergeCell ref="A22:L22"/>
    <mergeCell ref="A19:D19"/>
    <mergeCell ref="A27:L27"/>
    <mergeCell ref="A21:L21"/>
    <mergeCell ref="J3:L3"/>
    <mergeCell ref="H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13" customWidth="1" min="5" max="5"/>
    <col width="14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2" customWidth="1" min="12" max="12"/>
  </cols>
  <sheetData>
    <row r="1" ht="26" customHeight="1">
      <c r="A1" s="1" t="inlineStr">
        <is>
          <t>Medidas sinteticas de fecundidad — Guerrero 2019</t>
        </is>
      </c>
    </row>
    <row r="2" ht="6" customHeight="1"/>
    <row r="3" ht="18" customHeight="1">
      <c r="A3" s="2" t="inlineStr">
        <is>
          <t>K:</t>
        </is>
      </c>
      <c r="B3" s="3" t="n">
        <v>0.4878048780487805</v>
      </c>
      <c r="C3" s="4">
        <f> 100/205</f>
        <v/>
      </c>
      <c r="D3" s="4" t="inlineStr">
        <is>
          <t>(105 hombres : 100 mujeres al nacer)</t>
        </is>
      </c>
      <c r="H3" s="2" t="inlineStr">
        <is>
          <t>l0:</t>
        </is>
      </c>
      <c r="I3" s="5" t="n">
        <v>100000</v>
      </c>
      <c r="J3" s="4" t="inlineStr">
        <is>
          <t>raiz de la tabla de vida femenina</t>
        </is>
      </c>
    </row>
    <row r="4" ht="6" customHeight="1"/>
    <row r="5" ht="14" customHeight="1">
      <c r="A5" s="6" t="inlineStr">
        <is>
          <t>AZUL=inputs directos | NEGRO=formulas | TGF=5*SUMf(x,5) | TBR=TGF*K | TNR=5*K*SUM[f(x,5)*Lx/(5*l0)]</t>
        </is>
      </c>
    </row>
    <row r="6" ht="6" customHeight="1"/>
    <row r="7" ht="52" customHeight="1">
      <c r="A7" s="35" t="inlineStr">
        <is>
          <t>Grupo
edad</t>
        </is>
      </c>
      <c r="B7" s="35" t="inlineStr">
        <is>
          <t>Punto
medio</t>
        </is>
      </c>
      <c r="C7" s="35" t="inlineStr">
        <is>
          <t>x</t>
        </is>
      </c>
      <c r="D7" s="35" t="inlineStr">
        <is>
          <t>x+n</t>
        </is>
      </c>
      <c r="E7" s="35" t="inlineStr">
        <is>
          <t>Nacimientos
(B) INEGI</t>
        </is>
      </c>
      <c r="F7" s="35" t="inlineStr">
        <is>
          <t>Pob.fem.
CONAPO</t>
        </is>
      </c>
      <c r="G7" s="35" t="inlineStr">
        <is>
          <t>f(x,5)
=B/N</t>
        </is>
      </c>
      <c r="H7" s="35" t="inlineStr">
        <is>
          <t>f(x,5)
x1000</t>
        </is>
      </c>
      <c r="I7" s="35" t="inlineStr">
        <is>
          <t>f(x,5)fem
=f*K</t>
        </is>
      </c>
      <c r="J7" s="35" t="inlineStr">
        <is>
          <t>L(x)fem
tabla vida</t>
        </is>
      </c>
      <c r="K7" s="35" t="inlineStr">
        <is>
          <t>x+2.5P0
=Lx/5l0</t>
        </is>
      </c>
      <c r="L7" s="35" t="inlineStr">
        <is>
          <t>Prod.*5
=col9*col11*5</t>
        </is>
      </c>
    </row>
    <row r="8">
      <c r="A8" s="36" t="inlineStr">
        <is>
          <t>15-19</t>
        </is>
      </c>
      <c r="B8" s="37" t="n">
        <v>17.5</v>
      </c>
      <c r="C8" s="38" t="n">
        <v>15</v>
      </c>
      <c r="D8" s="38" t="n">
        <v>19</v>
      </c>
      <c r="E8" s="39" t="n">
        <v>13281</v>
      </c>
      <c r="F8" s="39" t="n">
        <v>173038</v>
      </c>
      <c r="G8" s="40">
        <f>E8/F8</f>
        <v/>
      </c>
      <c r="H8" s="41">
        <f>G8*1000</f>
        <v/>
      </c>
      <c r="I8" s="40">
        <f>G8*$B$3</f>
        <v/>
      </c>
      <c r="J8" s="39" t="n">
        <v>488200</v>
      </c>
      <c r="K8" s="40">
        <f>J8/(5*$I$3)</f>
        <v/>
      </c>
      <c r="L8" s="40">
        <f>I8*K8*5</f>
        <v/>
      </c>
    </row>
    <row r="9">
      <c r="A9" s="14" t="inlineStr">
        <is>
          <t>20-24</t>
        </is>
      </c>
      <c r="B9" s="15" t="n">
        <v>22.5</v>
      </c>
      <c r="C9" s="16" t="n">
        <v>20</v>
      </c>
      <c r="D9" s="16" t="n">
        <v>24</v>
      </c>
      <c r="E9" s="17" t="n">
        <v>20223</v>
      </c>
      <c r="F9" s="17" t="n">
        <v>159246</v>
      </c>
      <c r="G9" s="18">
        <f>E9/F9</f>
        <v/>
      </c>
      <c r="H9" s="19">
        <f>G9*1000</f>
        <v/>
      </c>
      <c r="I9" s="18">
        <f>G9*$B$3</f>
        <v/>
      </c>
      <c r="J9" s="17" t="n">
        <v>487600</v>
      </c>
      <c r="K9" s="18">
        <f>J9/(5*$I$3)</f>
        <v/>
      </c>
      <c r="L9" s="18">
        <f>I9*K9*5</f>
        <v/>
      </c>
    </row>
    <row r="10">
      <c r="A10" s="36" t="inlineStr">
        <is>
          <t>25-29</t>
        </is>
      </c>
      <c r="B10" s="37" t="n">
        <v>27.5</v>
      </c>
      <c r="C10" s="38" t="n">
        <v>25</v>
      </c>
      <c r="D10" s="38" t="n">
        <v>29</v>
      </c>
      <c r="E10" s="39" t="n">
        <v>17466</v>
      </c>
      <c r="F10" s="39" t="n">
        <v>147599</v>
      </c>
      <c r="G10" s="40">
        <f>E10/F10</f>
        <v/>
      </c>
      <c r="H10" s="41">
        <f>G10*1000</f>
        <v/>
      </c>
      <c r="I10" s="40">
        <f>G10*$B$3</f>
        <v/>
      </c>
      <c r="J10" s="39" t="n">
        <v>486800</v>
      </c>
      <c r="K10" s="40">
        <f>J10/(5*$I$3)</f>
        <v/>
      </c>
      <c r="L10" s="40">
        <f>I10*K10*5</f>
        <v/>
      </c>
    </row>
    <row r="11">
      <c r="A11" s="14" t="inlineStr">
        <is>
          <t>30-34</t>
        </is>
      </c>
      <c r="B11" s="15" t="n">
        <v>32.5</v>
      </c>
      <c r="C11" s="16" t="n">
        <v>30</v>
      </c>
      <c r="D11" s="16" t="n">
        <v>34</v>
      </c>
      <c r="E11" s="17" t="n">
        <v>11001</v>
      </c>
      <c r="F11" s="17" t="n">
        <v>132196</v>
      </c>
      <c r="G11" s="18">
        <f>E11/F11</f>
        <v/>
      </c>
      <c r="H11" s="19">
        <f>G11*1000</f>
        <v/>
      </c>
      <c r="I11" s="18">
        <f>G11*$B$3</f>
        <v/>
      </c>
      <c r="J11" s="17" t="n">
        <v>485500</v>
      </c>
      <c r="K11" s="18">
        <f>J11/(5*$I$3)</f>
        <v/>
      </c>
      <c r="L11" s="18">
        <f>I11*K11*5</f>
        <v/>
      </c>
    </row>
    <row r="12">
      <c r="A12" s="36" t="inlineStr">
        <is>
          <t>35-39</t>
        </is>
      </c>
      <c r="B12" s="37" t="n">
        <v>37.5</v>
      </c>
      <c r="C12" s="38" t="n">
        <v>35</v>
      </c>
      <c r="D12" s="38" t="n">
        <v>39</v>
      </c>
      <c r="E12" s="39" t="n">
        <v>5542</v>
      </c>
      <c r="F12" s="39" t="n">
        <v>118524</v>
      </c>
      <c r="G12" s="40">
        <f>E12/F12</f>
        <v/>
      </c>
      <c r="H12" s="41">
        <f>G12*1000</f>
        <v/>
      </c>
      <c r="I12" s="40">
        <f>G12*$B$3</f>
        <v/>
      </c>
      <c r="J12" s="39" t="n">
        <v>483600</v>
      </c>
      <c r="K12" s="40">
        <f>J12/(5*$I$3)</f>
        <v/>
      </c>
      <c r="L12" s="40">
        <f>I12*K12*5</f>
        <v/>
      </c>
    </row>
    <row r="13">
      <c r="A13" s="14" t="inlineStr">
        <is>
          <t>40-44</t>
        </is>
      </c>
      <c r="B13" s="15" t="n">
        <v>42.5</v>
      </c>
      <c r="C13" s="16" t="n">
        <v>40</v>
      </c>
      <c r="D13" s="16" t="n">
        <v>44</v>
      </c>
      <c r="E13" s="17" t="n">
        <v>1587</v>
      </c>
      <c r="F13" s="17" t="n">
        <v>109122</v>
      </c>
      <c r="G13" s="18">
        <f>E13/F13</f>
        <v/>
      </c>
      <c r="H13" s="19">
        <f>G13*1000</f>
        <v/>
      </c>
      <c r="I13" s="18">
        <f>G13*$B$3</f>
        <v/>
      </c>
      <c r="J13" s="17" t="n">
        <v>480700</v>
      </c>
      <c r="K13" s="18">
        <f>J13/(5*$I$3)</f>
        <v/>
      </c>
      <c r="L13" s="18">
        <f>I13*K13*5</f>
        <v/>
      </c>
    </row>
    <row r="14">
      <c r="A14" s="36" t="inlineStr">
        <is>
          <t>45-49</t>
        </is>
      </c>
      <c r="B14" s="37" t="n">
        <v>47.5</v>
      </c>
      <c r="C14" s="38" t="n">
        <v>45</v>
      </c>
      <c r="D14" s="38" t="n">
        <v>49</v>
      </c>
      <c r="E14" s="39" t="n">
        <v>318</v>
      </c>
      <c r="F14" s="39" t="n">
        <v>101538</v>
      </c>
      <c r="G14" s="40">
        <f>E14/F14</f>
        <v/>
      </c>
      <c r="H14" s="41">
        <f>G14*1000</f>
        <v/>
      </c>
      <c r="I14" s="40">
        <f>G14*$B$3</f>
        <v/>
      </c>
      <c r="J14" s="39" t="n">
        <v>475400</v>
      </c>
      <c r="K14" s="40">
        <f>J14/(5*$I$3)</f>
        <v/>
      </c>
      <c r="L14" s="40">
        <f>I14*K14*5</f>
        <v/>
      </c>
    </row>
    <row r="15" ht="18" customHeight="1">
      <c r="A15" s="20" t="inlineStr">
        <is>
          <t>TOTAL</t>
        </is>
      </c>
      <c r="B15" s="21" t="inlineStr">
        <is>
          <t>—</t>
        </is>
      </c>
      <c r="C15" s="21" t="inlineStr">
        <is>
          <t>—</t>
        </is>
      </c>
      <c r="D15" s="21" t="inlineStr">
        <is>
          <t>—</t>
        </is>
      </c>
      <c r="E15" s="22">
        <f>SUM(E8:E14)</f>
        <v/>
      </c>
      <c r="F15" s="22">
        <f>SUM(F8:F14)</f>
        <v/>
      </c>
      <c r="G15" s="23">
        <f>SUM(G8:G14)</f>
        <v/>
      </c>
      <c r="H15" s="24">
        <f>SUM(H8:H14)</f>
        <v/>
      </c>
      <c r="I15" s="23">
        <f>SUM(I8:I14)</f>
        <v/>
      </c>
      <c r="J15" s="21" t="inlineStr">
        <is>
          <t>—</t>
        </is>
      </c>
      <c r="K15" s="21" t="inlineStr">
        <is>
          <t>—</t>
        </is>
      </c>
      <c r="L15" s="23">
        <f>SUM(L8:L14)</f>
        <v/>
      </c>
    </row>
    <row r="17">
      <c r="A17" s="25" t="inlineStr">
        <is>
          <t>TGF = 5 * SUM f(x,5):</t>
        </is>
      </c>
      <c r="G17" s="26">
        <f>SUM(G8:G14)*5</f>
        <v/>
      </c>
      <c r="H17" s="4" t="inlineStr">
        <is>
          <t>hijos por mujer — cohorte hipotetica sin mortalidad (2019)</t>
        </is>
      </c>
    </row>
    <row r="18">
      <c r="A18" s="27" t="inlineStr">
        <is>
          <t>TBR = TGF * K:</t>
        </is>
      </c>
      <c r="G18" s="28">
        <f>G17*$B$3</f>
        <v/>
      </c>
      <c r="H18" s="29" t="inlineStr">
        <is>
          <t>hijas por mujer sin mortalidad | TBR = TGF x 0.4878</t>
        </is>
      </c>
    </row>
    <row r="19">
      <c r="A19" s="30" t="inlineStr">
        <is>
          <t>TNR = 5*K*SUM[f(x,5)*x+2.5P0]:</t>
        </is>
      </c>
      <c r="H19" s="31" t="inlineStr">
        <is>
          <t>hijas/mujer con mortalidad | TNR=1 reemplazo | &gt;1 crece | &lt;1 decrece</t>
        </is>
      </c>
      <c r="L19" s="32">
        <f>L15</f>
        <v/>
      </c>
    </row>
    <row r="21">
      <c r="A21" s="33" t="inlineStr">
        <is>
          <t>Notas metodologicas:</t>
        </is>
      </c>
    </row>
    <row r="22">
      <c r="A22" s="34" t="inlineStr">
        <is>
          <t>Nacimientos (col E): INEGI — Nacimientos Registrados Guerrero 2019</t>
        </is>
      </c>
    </row>
    <row r="23">
      <c r="A23" s="34" t="inlineStr">
        <is>
          <t>Poblacion femenina (col F): CONAPO — Proyecciones exponencial mitad de año 2019</t>
        </is>
      </c>
    </row>
    <row r="24">
      <c r="A24" s="34" t="inlineStr">
        <is>
          <t>L(x)fem (col J): tabla de vida de periodo femenina Guerrero 2019 (l0=100,000)</t>
        </is>
      </c>
    </row>
    <row r="25">
      <c r="A25" s="34" t="inlineStr">
        <is>
          <t>K = 100/205 = 0.4878 — proporcion teorica de nacimientos femeninos (105H:100M)</t>
        </is>
      </c>
    </row>
    <row r="26">
      <c r="A26" s="34" t="inlineStr">
        <is>
          <t>x+2.5P0(f) = Lx/(5*l0) — probabilidad de sobrevivir al PUNTO MEDIO del intervalo</t>
        </is>
      </c>
    </row>
    <row r="27">
      <c r="A27" s="34" t="inlineStr">
        <is>
          <t>Fuente metodologica: CELADE (2022). Medidas sinteticas de la fecundidad.</t>
        </is>
      </c>
    </row>
  </sheetData>
  <mergeCells count="17">
    <mergeCell ref="A26:L26"/>
    <mergeCell ref="A24:L24"/>
    <mergeCell ref="A17:D17"/>
    <mergeCell ref="H17:L17"/>
    <mergeCell ref="A18:D18"/>
    <mergeCell ref="A25:L25"/>
    <mergeCell ref="A1:L1"/>
    <mergeCell ref="A5:L5"/>
    <mergeCell ref="A23:L23"/>
    <mergeCell ref="H18:L18"/>
    <mergeCell ref="D3:F3"/>
    <mergeCell ref="A22:L22"/>
    <mergeCell ref="A19:D19"/>
    <mergeCell ref="A27:L27"/>
    <mergeCell ref="A21:L21"/>
    <mergeCell ref="J3:L3"/>
    <mergeCell ref="H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0" customWidth="1" min="5" max="5"/>
    <col width="48" customWidth="1" min="6" max="6"/>
    <col width="5" customWidth="1" min="7" max="7"/>
    <col width="5" customWidth="1" min="8" max="8"/>
  </cols>
  <sheetData>
    <row r="1" ht="26" customHeight="1">
      <c r="A1" s="1" t="inlineStr">
        <is>
          <t>Comparativo TGF, TBR y TNR — Guerrero 2010 vs 2019</t>
        </is>
      </c>
    </row>
    <row r="2" ht="8" customHeight="1"/>
    <row r="3" ht="36" customHeight="1">
      <c r="A3" s="7" t="inlineStr">
        <is>
          <t>Indicador</t>
        </is>
      </c>
      <c r="B3" s="7" t="inlineStr">
        <is>
          <t>Guerrero 2010</t>
        </is>
      </c>
      <c r="C3" s="7" t="inlineStr">
        <is>
          <t>Guerrero 2019</t>
        </is>
      </c>
      <c r="D3" s="7" t="inlineStr">
        <is>
          <t>Cambio
2019-2010</t>
        </is>
      </c>
      <c r="E3" s="7" t="inlineStr">
        <is>
          <t>% cambio</t>
        </is>
      </c>
      <c r="F3" s="7" t="inlineStr">
        <is>
          <t>Interpretacion</t>
        </is>
      </c>
      <c r="G3" s="42" t="n"/>
      <c r="H3" s="43" t="n"/>
    </row>
    <row r="4">
      <c r="A4" s="8" t="inlineStr">
        <is>
          <t>TGF</t>
        </is>
      </c>
      <c r="B4" s="12">
        <f>'2010'!G17</f>
        <v/>
      </c>
      <c r="C4" s="12">
        <f>'2019'!G17</f>
        <v/>
      </c>
      <c r="D4" s="44">
        <f>C4-B4</f>
        <v/>
      </c>
      <c r="E4" s="45">
        <f>(C4-B4)/B4</f>
        <v/>
      </c>
      <c r="F4" s="46" t="inlineStr">
        <is>
          <t>Hijos por mujer — cohorte hipotetica sin mortalidad</t>
        </is>
      </c>
    </row>
    <row r="5">
      <c r="A5" s="47" t="inlineStr">
        <is>
          <t>TBR</t>
        </is>
      </c>
      <c r="B5" s="48">
        <f>'2010'!G18</f>
        <v/>
      </c>
      <c r="C5" s="48">
        <f>'2019'!G18</f>
        <v/>
      </c>
      <c r="D5" s="49">
        <f>C5-B5</f>
        <v/>
      </c>
      <c r="E5" s="50">
        <f>(C5-B5)/B5</f>
        <v/>
      </c>
      <c r="F5" s="51" t="inlineStr">
        <is>
          <t>Hijas por mujer — sin mortalidad (TGF x K = TGF x 0.4878)</t>
        </is>
      </c>
    </row>
    <row r="6">
      <c r="A6" s="36" t="inlineStr">
        <is>
          <t>TNR</t>
        </is>
      </c>
      <c r="B6" s="40">
        <f>'2010'!L19</f>
        <v/>
      </c>
      <c r="C6" s="40">
        <f>'2019'!L19</f>
        <v/>
      </c>
      <c r="D6" s="52">
        <f>C6-B6</f>
        <v/>
      </c>
      <c r="E6" s="53">
        <f>(C6-B6)/B6</f>
        <v/>
      </c>
      <c r="F6" s="54" t="inlineStr">
        <is>
          <t>Hijas por mujer — con mortalidad | =1 reemplazo exacto</t>
        </is>
      </c>
    </row>
    <row r="8">
      <c r="A8" s="4" t="inlineStr">
        <is>
          <t>TNR=1 reemplazo | TNR&gt;1 generacion crece | TNR&lt;1 generacion decrece | Fuente: CELADE (2022)</t>
        </is>
      </c>
    </row>
  </sheetData>
  <mergeCells count="6">
    <mergeCell ref="F6:H6"/>
    <mergeCell ref="F5:H5"/>
    <mergeCell ref="F4:H4"/>
    <mergeCell ref="A1:H1"/>
    <mergeCell ref="F3:H3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2026-06-02T17:03:17Z</dcterms:created>
  <dcterms:modified xmlns:dcterms="http://purl.org/dc/terms/" xmlns:xsi="http://www.w3.org/2001/XMLSchema-instance" xsi:type="dcterms:W3CDTF">2026-06-02T17:03:17Z</dcterms:modified>
</cp:coreProperties>
</file>
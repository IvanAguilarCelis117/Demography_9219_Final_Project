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navi_117/Downloads/"/>
    </mc:Choice>
  </mc:AlternateContent>
  <xr:revisionPtr revIDLastSave="0" documentId="8_{62D9A4AC-BF84-0A4D-A089-452C2FF68E5D}" xr6:coauthVersionLast="47" xr6:coauthVersionMax="47" xr10:uidLastSave="{00000000-0000-0000-0000-000000000000}"/>
  <bookViews>
    <workbookView xWindow="0" yWindow="660" windowWidth="30240" windowHeight="17900" activeTab="1" xr2:uid="{00000000-000D-0000-FFFF-FFFF00000000}"/>
  </bookViews>
  <sheets>
    <sheet name="Hombres" sheetId="1" r:id="rId1"/>
    <sheet name="Mujeres" sheetId="2" r:id="rId2"/>
    <sheet name="Comparativ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4" i="2" l="1"/>
  <c r="J24" i="2"/>
  <c r="D24" i="2"/>
  <c r="P23" i="2"/>
  <c r="D23" i="2"/>
  <c r="P22" i="2"/>
  <c r="D22" i="2"/>
  <c r="Q21" i="2"/>
  <c r="P21" i="2"/>
  <c r="D21" i="2"/>
  <c r="P20" i="2"/>
  <c r="D20" i="2"/>
  <c r="P19" i="2"/>
  <c r="D19" i="2"/>
  <c r="P18" i="2"/>
  <c r="D18" i="2"/>
  <c r="P17" i="2"/>
  <c r="D17" i="2"/>
  <c r="P16" i="2"/>
  <c r="D16" i="2"/>
  <c r="P15" i="2"/>
  <c r="D15" i="2"/>
  <c r="P14" i="2"/>
  <c r="D14" i="2"/>
  <c r="P13" i="2"/>
  <c r="D13" i="2"/>
  <c r="P12" i="2"/>
  <c r="D12" i="2"/>
  <c r="P11" i="2"/>
  <c r="D11" i="2"/>
  <c r="P10" i="2"/>
  <c r="D10" i="2"/>
  <c r="P9" i="2"/>
  <c r="D9" i="2"/>
  <c r="P8" i="2"/>
  <c r="D8" i="2"/>
  <c r="P7" i="2"/>
  <c r="D7" i="2"/>
  <c r="P6" i="2"/>
  <c r="D6" i="2"/>
  <c r="P24" i="1"/>
  <c r="J24" i="1"/>
  <c r="D24" i="1"/>
  <c r="P23" i="1"/>
  <c r="D23" i="1"/>
  <c r="P22" i="1"/>
  <c r="D22" i="1"/>
  <c r="P21" i="1"/>
  <c r="D21" i="1"/>
  <c r="P20" i="1"/>
  <c r="D20" i="1"/>
  <c r="P19" i="1"/>
  <c r="D19" i="1"/>
  <c r="P18" i="1"/>
  <c r="D18" i="1"/>
  <c r="Q17" i="1"/>
  <c r="P17" i="1"/>
  <c r="D17" i="1"/>
  <c r="P16" i="1"/>
  <c r="D16" i="1"/>
  <c r="P15" i="1"/>
  <c r="D15" i="1"/>
  <c r="P14" i="1"/>
  <c r="D14" i="1"/>
  <c r="P13" i="1"/>
  <c r="D13" i="1"/>
  <c r="P12" i="1"/>
  <c r="D12" i="1"/>
  <c r="P11" i="1"/>
  <c r="D11" i="1"/>
  <c r="P10" i="1"/>
  <c r="D10" i="1"/>
  <c r="P9" i="1"/>
  <c r="D9" i="1"/>
  <c r="P8" i="1"/>
  <c r="D8" i="1"/>
  <c r="P7" i="1"/>
  <c r="D7" i="1"/>
  <c r="P6" i="1"/>
  <c r="D6" i="1"/>
  <c r="G21" i="2" l="1"/>
  <c r="I21" i="2" s="1"/>
  <c r="J21" i="2" s="1"/>
  <c r="Q20" i="2"/>
  <c r="G20" i="2"/>
  <c r="I20" i="2" s="1"/>
  <c r="J20" i="2" s="1"/>
  <c r="Q19" i="2"/>
  <c r="G19" i="2"/>
  <c r="I19" i="2" s="1"/>
  <c r="J19" i="2" s="1"/>
  <c r="Q18" i="2"/>
  <c r="G18" i="2"/>
  <c r="I18" i="2" s="1"/>
  <c r="J18" i="2" s="1"/>
  <c r="G12" i="2"/>
  <c r="I12" i="2" s="1"/>
  <c r="Q11" i="2"/>
  <c r="Q22" i="1"/>
  <c r="Q17" i="2"/>
  <c r="G17" i="2"/>
  <c r="I17" i="2" s="1"/>
  <c r="J17" i="2" s="1"/>
  <c r="Q16" i="2"/>
  <c r="G16" i="2"/>
  <c r="I16" i="2" s="1"/>
  <c r="J16" i="2" s="1"/>
  <c r="Q15" i="2"/>
  <c r="G15" i="2"/>
  <c r="I15" i="2" s="1"/>
  <c r="J15" i="2" s="1"/>
  <c r="Q14" i="2"/>
  <c r="G14" i="2"/>
  <c r="I14" i="2" s="1"/>
  <c r="J14" i="2" s="1"/>
  <c r="G13" i="2"/>
  <c r="I13" i="2" s="1"/>
  <c r="J13" i="2" s="1"/>
  <c r="Q12" i="2"/>
  <c r="J12" i="2"/>
  <c r="G9" i="2"/>
  <c r="I9" i="2" s="1"/>
  <c r="J9" i="2" s="1"/>
  <c r="G7" i="2"/>
  <c r="I7" i="2" s="1"/>
  <c r="J7" i="2" s="1"/>
  <c r="G24" i="1"/>
  <c r="H24" i="1" s="1"/>
  <c r="G22" i="1"/>
  <c r="I22" i="1" s="1"/>
  <c r="Q13" i="2"/>
  <c r="G11" i="2"/>
  <c r="I11" i="2" s="1"/>
  <c r="J11" i="2" s="1"/>
  <c r="Q10" i="2"/>
  <c r="G8" i="2"/>
  <c r="I8" i="2" s="1"/>
  <c r="J8" i="2" s="1"/>
  <c r="Q7" i="2"/>
  <c r="G23" i="1"/>
  <c r="I23" i="1" s="1"/>
  <c r="J23" i="1" s="1"/>
  <c r="Q21" i="1"/>
  <c r="G10" i="2"/>
  <c r="I10" i="2" s="1"/>
  <c r="J10" i="2" s="1"/>
  <c r="G6" i="2"/>
  <c r="G21" i="1"/>
  <c r="I21" i="1" s="1"/>
  <c r="J21" i="1" s="1"/>
  <c r="Q20" i="1"/>
  <c r="G20" i="1"/>
  <c r="I20" i="1" s="1"/>
  <c r="J20" i="1" s="1"/>
  <c r="Q19" i="1"/>
  <c r="G19" i="1"/>
  <c r="I19" i="1" s="1"/>
  <c r="J19" i="1" s="1"/>
  <c r="Q18" i="1"/>
  <c r="G18" i="1"/>
  <c r="I18" i="1" s="1"/>
  <c r="J18" i="1" s="1"/>
  <c r="Q16" i="1"/>
  <c r="Q15" i="1"/>
  <c r="Q12" i="1"/>
  <c r="G12" i="1"/>
  <c r="I12" i="1" s="1"/>
  <c r="J12" i="1" s="1"/>
  <c r="Q11" i="1"/>
  <c r="G17" i="1"/>
  <c r="I17" i="1" s="1"/>
  <c r="J17" i="1" s="1"/>
  <c r="G16" i="1"/>
  <c r="I16" i="1" s="1"/>
  <c r="J16" i="1" s="1"/>
  <c r="G15" i="1"/>
  <c r="I15" i="1" s="1"/>
  <c r="J15" i="1" s="1"/>
  <c r="Q14" i="1"/>
  <c r="G14" i="1"/>
  <c r="I14" i="1" s="1"/>
  <c r="J14" i="1" s="1"/>
  <c r="Q10" i="1"/>
  <c r="Q13" i="1"/>
  <c r="G13" i="1"/>
  <c r="I13" i="1" s="1"/>
  <c r="J13" i="1" s="1"/>
  <c r="G11" i="1"/>
  <c r="I11" i="1" s="1"/>
  <c r="J11" i="1" s="1"/>
  <c r="G10" i="1"/>
  <c r="I10" i="1" s="1"/>
  <c r="J10" i="1" s="1"/>
  <c r="Q23" i="1"/>
  <c r="Q9" i="1"/>
  <c r="G9" i="1"/>
  <c r="I9" i="1" s="1"/>
  <c r="J9" i="1" s="1"/>
  <c r="Q8" i="1"/>
  <c r="G8" i="1"/>
  <c r="I8" i="1" s="1"/>
  <c r="J8" i="1" s="1"/>
  <c r="Q7" i="1"/>
  <c r="G7" i="1"/>
  <c r="I7" i="1" s="1"/>
  <c r="J7" i="1" s="1"/>
  <c r="G6" i="1"/>
  <c r="G24" i="2"/>
  <c r="H24" i="2" s="1"/>
  <c r="Q23" i="2"/>
  <c r="G23" i="2"/>
  <c r="I23" i="2" s="1"/>
  <c r="J23" i="2" s="1"/>
  <c r="Q22" i="2"/>
  <c r="G22" i="2"/>
  <c r="I22" i="2" s="1"/>
  <c r="J22" i="2" s="1"/>
  <c r="Q9" i="2"/>
  <c r="Q8" i="2"/>
  <c r="H6" i="2" l="1"/>
  <c r="I6" i="2"/>
  <c r="H6" i="1"/>
  <c r="J22" i="1"/>
  <c r="Q6" i="2" l="1"/>
  <c r="L6" i="2"/>
  <c r="J6" i="2"/>
  <c r="K7" i="2" s="1"/>
  <c r="Q6" i="1"/>
  <c r="I6" i="1"/>
  <c r="S7" i="2" l="1"/>
  <c r="T6" i="2"/>
  <c r="U6" i="2" s="1"/>
  <c r="L7" i="2"/>
  <c r="K8" i="2"/>
  <c r="S7" i="1"/>
  <c r="T6" i="1"/>
  <c r="U6" i="1" s="1"/>
  <c r="L6" i="1"/>
  <c r="M6" i="1" s="1"/>
  <c r="J6" i="1"/>
  <c r="K7" i="1" s="1"/>
  <c r="M6" i="2"/>
  <c r="S8" i="2" l="1"/>
  <c r="T7" i="2"/>
  <c r="M8" i="2"/>
  <c r="K9" i="2"/>
  <c r="L8" i="2"/>
  <c r="T7" i="1"/>
  <c r="U7" i="1"/>
  <c r="S8" i="1"/>
  <c r="L7" i="1"/>
  <c r="M7" i="1"/>
  <c r="K8" i="1"/>
  <c r="M7" i="2"/>
  <c r="S9" i="2" l="1"/>
  <c r="T8" i="2"/>
  <c r="U8" i="2"/>
  <c r="K10" i="2"/>
  <c r="L9" i="2"/>
  <c r="T8" i="1"/>
  <c r="S9" i="1"/>
  <c r="L8" i="1"/>
  <c r="K9" i="1"/>
  <c r="U7" i="2"/>
  <c r="T9" i="2" l="1"/>
  <c r="U9" i="2"/>
  <c r="S10" i="2"/>
  <c r="K11" i="2"/>
  <c r="L10" i="2"/>
  <c r="M10" i="2"/>
  <c r="T9" i="1"/>
  <c r="U9" i="1"/>
  <c r="S10" i="1"/>
  <c r="L9" i="1"/>
  <c r="M9" i="1"/>
  <c r="K10" i="1"/>
  <c r="U8" i="1"/>
  <c r="M8" i="1"/>
  <c r="M9" i="2"/>
  <c r="T10" i="2" l="1"/>
  <c r="U10" i="2"/>
  <c r="S11" i="2"/>
  <c r="K12" i="2"/>
  <c r="L11" i="2"/>
  <c r="T10" i="1"/>
  <c r="S11" i="1"/>
  <c r="U10" i="1"/>
  <c r="K11" i="1"/>
  <c r="L10" i="1"/>
  <c r="T11" i="2" l="1"/>
  <c r="S12" i="2"/>
  <c r="K13" i="2"/>
  <c r="L12" i="2"/>
  <c r="T11" i="1"/>
  <c r="S12" i="1"/>
  <c r="U11" i="1"/>
  <c r="K12" i="1"/>
  <c r="L11" i="1"/>
  <c r="M11" i="2"/>
  <c r="M10" i="1"/>
  <c r="T12" i="2" l="1"/>
  <c r="S13" i="2"/>
  <c r="K14" i="2"/>
  <c r="L13" i="2"/>
  <c r="T12" i="1"/>
  <c r="U12" i="1"/>
  <c r="S13" i="1"/>
  <c r="L12" i="1"/>
  <c r="K13" i="1"/>
  <c r="M11" i="1"/>
  <c r="U11" i="2"/>
  <c r="M12" i="2"/>
  <c r="T13" i="2" l="1"/>
  <c r="U13" i="2"/>
  <c r="S14" i="2"/>
  <c r="L14" i="2"/>
  <c r="M14" i="2"/>
  <c r="K15" i="2"/>
  <c r="T13" i="1"/>
  <c r="U13" i="1"/>
  <c r="S14" i="1"/>
  <c r="L13" i="1"/>
  <c r="M13" i="1"/>
  <c r="K14" i="1"/>
  <c r="U12" i="2"/>
  <c r="M13" i="2"/>
  <c r="M12" i="1"/>
  <c r="T14" i="2" l="1"/>
  <c r="U14" i="2"/>
  <c r="S15" i="2"/>
  <c r="L15" i="2"/>
  <c r="M15" i="2"/>
  <c r="K16" i="2"/>
  <c r="T14" i="1"/>
  <c r="U14" i="1"/>
  <c r="S15" i="1"/>
  <c r="L14" i="1"/>
  <c r="M14" i="1"/>
  <c r="K15" i="1"/>
  <c r="T15" i="2" l="1"/>
  <c r="U15" i="2"/>
  <c r="S16" i="2"/>
  <c r="L16" i="2"/>
  <c r="M16" i="2"/>
  <c r="K17" i="2"/>
  <c r="T15" i="1"/>
  <c r="U15" i="1"/>
  <c r="S16" i="1"/>
  <c r="K16" i="1"/>
  <c r="L15" i="1"/>
  <c r="T16" i="2" l="1"/>
  <c r="U16" i="2"/>
  <c r="S17" i="2"/>
  <c r="L17" i="2"/>
  <c r="K18" i="2"/>
  <c r="T16" i="1"/>
  <c r="U16" i="1"/>
  <c r="S17" i="1"/>
  <c r="K17" i="1"/>
  <c r="L16" i="1"/>
  <c r="M15" i="1"/>
  <c r="T17" i="2" l="1"/>
  <c r="U17" i="2"/>
  <c r="S18" i="2"/>
  <c r="L18" i="2"/>
  <c r="K19" i="2"/>
  <c r="T17" i="1"/>
  <c r="U17" i="1"/>
  <c r="S18" i="1"/>
  <c r="L17" i="1"/>
  <c r="K18" i="1"/>
  <c r="M17" i="1"/>
  <c r="M16" i="1"/>
  <c r="M17" i="2"/>
  <c r="T18" i="2" l="1"/>
  <c r="S19" i="2"/>
  <c r="L19" i="2"/>
  <c r="K20" i="2"/>
  <c r="T18" i="1"/>
  <c r="U18" i="1"/>
  <c r="S19" i="1"/>
  <c r="L18" i="1"/>
  <c r="M18" i="1"/>
  <c r="K19" i="1"/>
  <c r="M18" i="2"/>
  <c r="T19" i="2" l="1"/>
  <c r="U19" i="2"/>
  <c r="S20" i="2"/>
  <c r="L20" i="2"/>
  <c r="M20" i="2"/>
  <c r="K21" i="2"/>
  <c r="T19" i="1"/>
  <c r="U19" i="1"/>
  <c r="S20" i="1"/>
  <c r="L19" i="1"/>
  <c r="M19" i="1"/>
  <c r="K20" i="1"/>
  <c r="U18" i="2"/>
  <c r="M19" i="2"/>
  <c r="T20" i="2" l="1"/>
  <c r="U20" i="2"/>
  <c r="S21" i="2"/>
  <c r="L21" i="2"/>
  <c r="M21" i="2"/>
  <c r="K22" i="2"/>
  <c r="T20" i="1"/>
  <c r="U20" i="1"/>
  <c r="S21" i="1"/>
  <c r="L20" i="1"/>
  <c r="M20" i="1"/>
  <c r="K21" i="1"/>
  <c r="T21" i="2" l="1"/>
  <c r="S22" i="2"/>
  <c r="L22" i="2"/>
  <c r="K23" i="2"/>
  <c r="U21" i="1"/>
  <c r="S22" i="1"/>
  <c r="T21" i="1"/>
  <c r="L21" i="1"/>
  <c r="M21" i="1"/>
  <c r="K22" i="1"/>
  <c r="T22" i="2" l="1"/>
  <c r="U22" i="2"/>
  <c r="S23" i="2"/>
  <c r="L23" i="2"/>
  <c r="M23" i="2"/>
  <c r="K24" i="2"/>
  <c r="S23" i="1"/>
  <c r="T22" i="1"/>
  <c r="L22" i="1"/>
  <c r="K23" i="1"/>
  <c r="U21" i="2"/>
  <c r="M22" i="2"/>
  <c r="T23" i="2" l="1"/>
  <c r="U23" i="2"/>
  <c r="S24" i="2"/>
  <c r="L24" i="2"/>
  <c r="M24" i="2"/>
  <c r="T23" i="1"/>
  <c r="S24" i="1"/>
  <c r="L23" i="1"/>
  <c r="K24" i="1"/>
  <c r="M22" i="1"/>
  <c r="U22" i="1"/>
  <c r="T24" i="2" l="1"/>
  <c r="U24" i="2"/>
  <c r="N23" i="2"/>
  <c r="O23" i="2" s="1"/>
  <c r="N17" i="2"/>
  <c r="O17" i="2" s="1"/>
  <c r="N16" i="2"/>
  <c r="O16" i="2" s="1"/>
  <c r="N13" i="2"/>
  <c r="O13" i="2" s="1"/>
  <c r="N15" i="2"/>
  <c r="O15" i="2" s="1"/>
  <c r="N14" i="2"/>
  <c r="O14" i="2" s="1"/>
  <c r="N11" i="2"/>
  <c r="O11" i="2" s="1"/>
  <c r="N12" i="2"/>
  <c r="O12" i="2" s="1"/>
  <c r="N10" i="2"/>
  <c r="O10" i="2" s="1"/>
  <c r="N9" i="2"/>
  <c r="O9" i="2" s="1"/>
  <c r="N7" i="2"/>
  <c r="O7" i="2" s="1"/>
  <c r="N8" i="2"/>
  <c r="O8" i="2" s="1"/>
  <c r="N6" i="2"/>
  <c r="O6" i="2" s="1"/>
  <c r="G26" i="2" s="1"/>
  <c r="N24" i="2"/>
  <c r="O24" i="2" s="1"/>
  <c r="U24" i="1"/>
  <c r="T24" i="1"/>
  <c r="M24" i="1"/>
  <c r="L24" i="1"/>
  <c r="V22" i="1"/>
  <c r="R22" i="1" s="1"/>
  <c r="V21" i="1"/>
  <c r="R21" i="1" s="1"/>
  <c r="V18" i="1"/>
  <c r="R18" i="1" s="1"/>
  <c r="V19" i="1"/>
  <c r="R19" i="1" s="1"/>
  <c r="V17" i="1"/>
  <c r="R17" i="1" s="1"/>
  <c r="V20" i="1"/>
  <c r="R20" i="1" s="1"/>
  <c r="M23" i="1"/>
  <c r="N23" i="1" s="1"/>
  <c r="O23" i="1" s="1"/>
  <c r="V19" i="2"/>
  <c r="R19" i="2" s="1"/>
  <c r="V21" i="2"/>
  <c r="R21" i="2" s="1"/>
  <c r="N18" i="2"/>
  <c r="O18" i="2" s="1"/>
  <c r="N21" i="2"/>
  <c r="O21" i="2" s="1"/>
  <c r="U23" i="1"/>
  <c r="N20" i="2"/>
  <c r="O20" i="2" s="1"/>
  <c r="N22" i="2"/>
  <c r="O22" i="2" s="1"/>
  <c r="N19" i="2"/>
  <c r="O19" i="2" s="1"/>
  <c r="V16" i="2" l="1"/>
  <c r="R16" i="2" s="1"/>
  <c r="V11" i="2"/>
  <c r="R11" i="2" s="1"/>
  <c r="V13" i="2"/>
  <c r="R13" i="2" s="1"/>
  <c r="V15" i="2"/>
  <c r="R15" i="2" s="1"/>
  <c r="V14" i="2"/>
  <c r="R14" i="2" s="1"/>
  <c r="V12" i="2"/>
  <c r="R12" i="2" s="1"/>
  <c r="V10" i="2"/>
  <c r="R10" i="2" s="1"/>
  <c r="V9" i="2"/>
  <c r="R9" i="2" s="1"/>
  <c r="V7" i="2"/>
  <c r="R7" i="2" s="1"/>
  <c r="V8" i="2"/>
  <c r="R8" i="2" s="1"/>
  <c r="V6" i="2"/>
  <c r="R6" i="2" s="1"/>
  <c r="V24" i="2"/>
  <c r="R24" i="2" s="1"/>
  <c r="C5" i="3"/>
  <c r="G28" i="2"/>
  <c r="V15" i="1"/>
  <c r="R15" i="1" s="1"/>
  <c r="V16" i="1"/>
  <c r="R16" i="1" s="1"/>
  <c r="V14" i="1"/>
  <c r="R14" i="1" s="1"/>
  <c r="V13" i="1"/>
  <c r="R13" i="1" s="1"/>
  <c r="V11" i="1"/>
  <c r="R11" i="1" s="1"/>
  <c r="V12" i="1"/>
  <c r="R12" i="1" s="1"/>
  <c r="V8" i="1"/>
  <c r="R8" i="1" s="1"/>
  <c r="V10" i="1"/>
  <c r="R10" i="1" s="1"/>
  <c r="V7" i="1"/>
  <c r="R7" i="1" s="1"/>
  <c r="V9" i="1"/>
  <c r="R9" i="1" s="1"/>
  <c r="V6" i="1"/>
  <c r="R6" i="1" s="1"/>
  <c r="V24" i="1"/>
  <c r="R24" i="1" s="1"/>
  <c r="N16" i="1"/>
  <c r="O16" i="1" s="1"/>
  <c r="N15" i="1"/>
  <c r="O15" i="1" s="1"/>
  <c r="N17" i="1"/>
  <c r="O17" i="1" s="1"/>
  <c r="N14" i="1"/>
  <c r="O14" i="1" s="1"/>
  <c r="N12" i="1"/>
  <c r="O12" i="1" s="1"/>
  <c r="N13" i="1"/>
  <c r="O13" i="1" s="1"/>
  <c r="N11" i="1"/>
  <c r="O11" i="1" s="1"/>
  <c r="N10" i="1"/>
  <c r="O10" i="1" s="1"/>
  <c r="N9" i="1"/>
  <c r="O9" i="1" s="1"/>
  <c r="N8" i="1"/>
  <c r="O8" i="1" s="1"/>
  <c r="N7" i="1"/>
  <c r="O7" i="1" s="1"/>
  <c r="N6" i="1"/>
  <c r="O6" i="1" s="1"/>
  <c r="G26" i="1" s="1"/>
  <c r="N24" i="1"/>
  <c r="O24" i="1" s="1"/>
  <c r="N22" i="1"/>
  <c r="O22" i="1" s="1"/>
  <c r="N19" i="1"/>
  <c r="O19" i="1" s="1"/>
  <c r="N21" i="1"/>
  <c r="O21" i="1" s="1"/>
  <c r="V23" i="1"/>
  <c r="R23" i="1" s="1"/>
  <c r="V18" i="2"/>
  <c r="R18" i="2" s="1"/>
  <c r="V17" i="2"/>
  <c r="R17" i="2" s="1"/>
  <c r="V20" i="2"/>
  <c r="R20" i="2" s="1"/>
  <c r="V22" i="2"/>
  <c r="R22" i="2" s="1"/>
  <c r="V23" i="2"/>
  <c r="R23" i="2" s="1"/>
  <c r="N20" i="1"/>
  <c r="O20" i="1" s="1"/>
  <c r="N18" i="1"/>
  <c r="O18" i="1" s="1"/>
  <c r="D5" i="3" l="1"/>
  <c r="E5" i="3"/>
  <c r="G28" i="1"/>
  <c r="C4" i="3"/>
  <c r="D4" i="3" l="1"/>
  <c r="E4" i="3"/>
</calcChain>
</file>

<file path=xl/sharedStrings.xml><?xml version="1.0" encoding="utf-8"?>
<sst xmlns="http://schemas.openxmlformats.org/spreadsheetml/2006/main" count="117" uniqueCount="65">
  <si>
    <t>Tabla de vida causa eliminada — Homicidios | Guerrero 2019 | Hombres</t>
  </si>
  <si>
    <t>Texto azul = inputs  |  Texto negro = fórmulas  |  D*x = Dx_total − Dx_homicidio  |  m*x = D*x / Nx  |  Riesgos en competencia: se elimina el homicidio manteniendo la misma población expuesta</t>
  </si>
  <si>
    <t>Grupo
edad</t>
  </si>
  <si>
    <t>Dx
total</t>
  </si>
  <si>
    <t>Dx
homicidio</t>
  </si>
  <si>
    <t>D*x
prima</t>
  </si>
  <si>
    <t>Nx
población</t>
  </si>
  <si>
    <t>n
amplitud</t>
  </si>
  <si>
    <t>m*x
sin hom.</t>
  </si>
  <si>
    <t>ax
Coale-D</t>
  </si>
  <si>
    <t>q*x
sin hom.</t>
  </si>
  <si>
    <t>p*x
sin hom.</t>
  </si>
  <si>
    <t>lx
sin hom.</t>
  </si>
  <si>
    <t>dx
sin hom.</t>
  </si>
  <si>
    <t>Lx
sin hom.</t>
  </si>
  <si>
    <t>Tx
sin hom.</t>
  </si>
  <si>
    <t>e*x
sin hom.</t>
  </si>
  <si>
    <t>mx orig.
con hom.</t>
  </si>
  <si>
    <t>qx orig.
con hom.</t>
  </si>
  <si>
    <t>ex orig.
con hom.</t>
  </si>
  <si>
    <t>0</t>
  </si>
  <si>
    <t>1-4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</si>
  <si>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</si>
  <si>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</si>
  <si>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</si>
  <si>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</si>
  <si>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</si>
  <si>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</si>
  <si>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</si>
  <si>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</si>
  <si>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</si>
  <si>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</si>
  <si>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</si>
  <si>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</si>
  <si>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</si>
  <si>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</si>
  <si>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</si>
  <si>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</si>
  <si>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85+</t>
  </si>
  <si>
    <t>∞</t>
  </si>
  <si>
    <t>e*₀ (sin homicidios):</t>
  </si>
  <si>
    <t>años de vida esperados si no existieran los homicidios</t>
  </si>
  <si>
    <t>e₀ base 2019 (con homicidios):</t>
  </si>
  <si>
    <t>valor de la tabla de período 2019 (con todos los riesgos)</t>
  </si>
  <si>
    <t>Ganancia en e₀:</t>
  </si>
  <si>
    <t>años adicionales de vida al eliminar el riesgo de homicidio</t>
  </si>
  <si>
    <t>Notas:</t>
  </si>
  <si>
    <t>· Texto azul = inputs directos (INEGI EDR 2019 y CONAPO proyecciones)</t>
  </si>
  <si>
    <t>· Texto negro = fórmulas calculadas a partir de los inputs</t>
  </si>
  <si>
    <t>· ax grupo 0: Coale-Demeny → IF(m0≥0.107; 0.07+1.7·m0; 0.14+2.0·m0)</t>
  </si>
  <si>
    <t>· ax grupo 1-4 = 1.5  |  grupos quinquenales = 2.5  |  85+ = 1/m*85+</t>
  </si>
  <si>
    <t>· Grupo abierto 85+: q85+=1, L85+=l85+/m*85+, n=∞</t>
  </si>
  <si>
    <t>· Columnas S-V (ocultas): cálculos auxiliares para ex original</t>
  </si>
  <si>
    <t>Tabla de vida causa eliminada — Homicidios | Guerrero 2019 | Mujeres</t>
  </si>
  <si>
    <t>Comparativo e₀ — Con y sin homicidios | Guerrero 2019</t>
  </si>
  <si>
    <t>Sexo</t>
  </si>
  <si>
    <t>e₀ con homicidios</t>
  </si>
  <si>
    <t>e₀ sin homicidios</t>
  </si>
  <si>
    <t>Ganancia (años)</t>
  </si>
  <si>
    <t>% incremento</t>
  </si>
  <si>
    <t>Interpretación</t>
  </si>
  <si>
    <t>Hombres</t>
  </si>
  <si>
    <t>Mayor ganancia — hombres concentran &gt;89% de víctimas de homicidio</t>
  </si>
  <si>
    <t>Mujeres</t>
  </si>
  <si>
    <t>Menor ganancia — participación femenina en homicidios es menor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</si>
</sst>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"/>
    <numFmt numFmtId="165" formatCode="0.0000"/>
    <numFmt numFmtId="166" formatCode="\+0.00"/>
  </numFmts>
  <fonts count="10" x14ac:knownFonts="1">
    <font>
      <sz val="11"/>
      <color theme="1"/>
      <name val="Calibri"/>
      <family val="2"/>
      <scheme val="minor"/>
    </font>
    <font>
      <b/>
      <sz val="12"/>
      <color rgb="FF1F4E79"/>
      <name val="Arial"/>
    </font>
    <font>
      <i/>
      <sz val="9"/>
      <color rgb="FF595959"/>
      <name val="Arial"/>
    </font>
    <font>
      <b/>
      <sz val="10"/>
      <color rgb="FFFFFFFF"/>
      <name val="Arial"/>
    </font>
    <font>
      <b/>
      <sz val="10"/>
      <name val="Arial"/>
    </font>
    <font>
      <sz val="10"/>
      <color rgb="FF0000FF"/>
      <name val="Arial"/>
    </font>
    <font>
      <sz val="10"/>
      <name val="Arial"/>
    </font>
    <font>
      <b/>
      <sz val="10"/>
      <color rgb="FFC00000"/>
      <name val="Arial"/>
    </font>
    <font>
      <b/>
      <sz val="9"/>
      <color rgb="FF595959"/>
      <name val="Arial"/>
    </font>
    <font>
      <i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7B1A1A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3" fontId="5" fillId="4" borderId="1" xfId="0" applyNumberFormat="1" applyFont="1" applyFill="1" applyBorder="1" applyAlignment="1">
      <alignment horizontal="center" vertical="center" wrapText="1"/>
    </xf>
    <xf numFmtId="3" fontId="6" fillId="4" borderId="1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164" fontId="6" fillId="4" borderId="1" xfId="0" applyNumberFormat="1" applyFont="1" applyFill="1" applyBorder="1" applyAlignment="1">
      <alignment horizontal="center" vertical="center" wrapText="1"/>
    </xf>
    <xf numFmtId="165" fontId="6" fillId="4" borderId="1" xfId="0" applyNumberFormat="1" applyFont="1" applyFill="1" applyBorder="1" applyAlignment="1">
      <alignment horizontal="center" vertical="center" wrapText="1"/>
    </xf>
    <xf numFmtId="2" fontId="6" fillId="5" borderId="1" xfId="0" applyNumberFormat="1" applyFont="1" applyFill="1" applyBorder="1" applyAlignment="1">
      <alignment horizontal="center" vertical="center" wrapText="1"/>
    </xf>
    <xf numFmtId="164" fontId="2" fillId="4" borderId="1" xfId="0" applyNumberFormat="1" applyFont="1" applyFill="1" applyBorder="1" applyAlignment="1">
      <alignment horizontal="center" vertical="center" wrapText="1"/>
    </xf>
    <xf numFmtId="165" fontId="2" fillId="4" borderId="1" xfId="0" applyNumberFormat="1" applyFont="1" applyFill="1" applyBorder="1" applyAlignment="1">
      <alignment horizontal="center" vertical="center" wrapText="1"/>
    </xf>
    <xf numFmtId="2" fontId="2" fillId="4" borderId="1" xfId="0" applyNumberFormat="1" applyFont="1" applyFill="1" applyBorder="1" applyAlignment="1">
      <alignment horizontal="center" vertical="center" wrapText="1"/>
    </xf>
    <xf numFmtId="3" fontId="2" fillId="4" borderId="1" xfId="0" applyNumberFormat="1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3" fontId="5" fillId="6" borderId="1" xfId="0" applyNumberFormat="1" applyFont="1" applyFill="1" applyBorder="1" applyAlignment="1">
      <alignment horizontal="center" vertical="center" wrapText="1"/>
    </xf>
    <xf numFmtId="3" fontId="6" fillId="6" borderId="1" xfId="0" applyNumberFormat="1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164" fontId="6" fillId="6" borderId="1" xfId="0" applyNumberFormat="1" applyFont="1" applyFill="1" applyBorder="1" applyAlignment="1">
      <alignment horizontal="center" vertical="center" wrapText="1"/>
    </xf>
    <xf numFmtId="165" fontId="5" fillId="6" borderId="1" xfId="0" applyNumberFormat="1" applyFont="1" applyFill="1" applyBorder="1" applyAlignment="1">
      <alignment horizontal="center" vertical="center" wrapText="1"/>
    </xf>
    <xf numFmtId="165" fontId="6" fillId="6" borderId="1" xfId="0" applyNumberFormat="1" applyFont="1" applyFill="1" applyBorder="1" applyAlignment="1">
      <alignment horizontal="center" vertical="center" wrapText="1"/>
    </xf>
    <xf numFmtId="2" fontId="6" fillId="6" borderId="1" xfId="0" applyNumberFormat="1" applyFont="1" applyFill="1" applyBorder="1" applyAlignment="1">
      <alignment horizontal="center" vertical="center" wrapText="1"/>
    </xf>
    <xf numFmtId="164" fontId="2" fillId="6" borderId="1" xfId="0" applyNumberFormat="1" applyFont="1" applyFill="1" applyBorder="1" applyAlignment="1">
      <alignment horizontal="center" vertical="center" wrapText="1"/>
    </xf>
    <xf numFmtId="165" fontId="2" fillId="6" borderId="1" xfId="0" applyNumberFormat="1" applyFont="1" applyFill="1" applyBorder="1" applyAlignment="1">
      <alignment horizontal="center" vertical="center" wrapText="1"/>
    </xf>
    <xf numFmtId="2" fontId="2" fillId="6" borderId="1" xfId="0" applyNumberFormat="1" applyFont="1" applyFill="1" applyBorder="1" applyAlignment="1">
      <alignment horizontal="center" vertical="center" wrapText="1"/>
    </xf>
    <xf numFmtId="3" fontId="2" fillId="6" borderId="1" xfId="0" applyNumberFormat="1" applyFont="1" applyFill="1" applyBorder="1" applyAlignment="1">
      <alignment horizontal="center" vertical="center" wrapText="1"/>
    </xf>
    <xf numFmtId="165" fontId="5" fillId="4" borderId="1" xfId="0" applyNumberFormat="1" applyFont="1" applyFill="1" applyBorder="1" applyAlignment="1">
      <alignment horizontal="center" vertical="center" wrapText="1"/>
    </xf>
    <xf numFmtId="2" fontId="6" fillId="4" borderId="1" xfId="0" applyNumberFormat="1" applyFont="1" applyFill="1" applyBorder="1" applyAlignment="1">
      <alignment horizontal="center" vertical="center" wrapText="1"/>
    </xf>
    <xf numFmtId="2" fontId="7" fillId="2" borderId="1" xfId="0" applyNumberFormat="1" applyFont="1" applyFill="1" applyBorder="1" applyAlignment="1">
      <alignment horizontal="center" vertical="center" wrapText="1"/>
    </xf>
    <xf numFmtId="2" fontId="5" fillId="2" borderId="1" xfId="0" applyNumberFormat="1" applyFont="1" applyFill="1" applyBorder="1" applyAlignment="1">
      <alignment horizontal="center" vertical="center" wrapText="1"/>
    </xf>
    <xf numFmtId="166" fontId="7" fillId="5" borderId="1" xfId="0" applyNumberFormat="1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3" fontId="5" fillId="8" borderId="1" xfId="0" applyNumberFormat="1" applyFont="1" applyFill="1" applyBorder="1" applyAlignment="1">
      <alignment horizontal="center" vertical="center" wrapText="1"/>
    </xf>
    <xf numFmtId="3" fontId="6" fillId="8" borderId="1" xfId="0" applyNumberFormat="1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164" fontId="6" fillId="8" borderId="1" xfId="0" applyNumberFormat="1" applyFont="1" applyFill="1" applyBorder="1" applyAlignment="1">
      <alignment horizontal="center" vertical="center" wrapText="1"/>
    </xf>
    <xf numFmtId="165" fontId="6" fillId="8" borderId="1" xfId="0" applyNumberFormat="1" applyFont="1" applyFill="1" applyBorder="1" applyAlignment="1">
      <alignment horizontal="center" vertical="center" wrapText="1"/>
    </xf>
    <xf numFmtId="164" fontId="2" fillId="8" borderId="1" xfId="0" applyNumberFormat="1" applyFont="1" applyFill="1" applyBorder="1" applyAlignment="1">
      <alignment horizontal="center" vertical="center" wrapText="1"/>
    </xf>
    <xf numFmtId="165" fontId="2" fillId="8" borderId="1" xfId="0" applyNumberFormat="1" applyFont="1" applyFill="1" applyBorder="1" applyAlignment="1">
      <alignment horizontal="center" vertical="center" wrapText="1"/>
    </xf>
    <xf numFmtId="2" fontId="2" fillId="8" borderId="1" xfId="0" applyNumberFormat="1" applyFont="1" applyFill="1" applyBorder="1" applyAlignment="1">
      <alignment horizontal="center" vertical="center" wrapText="1"/>
    </xf>
    <xf numFmtId="3" fontId="2" fillId="8" borderId="1" xfId="0" applyNumberFormat="1" applyFont="1" applyFill="1" applyBorder="1" applyAlignment="1">
      <alignment horizontal="center" vertical="center" wrapText="1"/>
    </xf>
    <xf numFmtId="165" fontId="5" fillId="8" borderId="1" xfId="0" applyNumberFormat="1" applyFont="1" applyFill="1" applyBorder="1" applyAlignment="1">
      <alignment horizontal="center" vertical="center" wrapText="1"/>
    </xf>
    <xf numFmtId="2" fontId="6" fillId="8" borderId="1" xfId="0" applyNumberFormat="1" applyFont="1" applyFill="1" applyBorder="1" applyAlignment="1">
      <alignment horizontal="center" vertical="center" wrapText="1"/>
    </xf>
    <xf numFmtId="2" fontId="5" fillId="4" borderId="1" xfId="0" applyNumberFormat="1" applyFont="1" applyFill="1" applyBorder="1" applyAlignment="1">
      <alignment horizontal="center" vertical="center" wrapText="1"/>
    </xf>
    <xf numFmtId="10" fontId="6" fillId="5" borderId="1" xfId="0" applyNumberFormat="1" applyFont="1" applyFill="1" applyBorder="1" applyAlignment="1">
      <alignment horizontal="center" vertical="center" wrapText="1"/>
    </xf>
    <xf numFmtId="2" fontId="5" fillId="8" borderId="1" xfId="0" applyNumberFormat="1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0" fillId="0" borderId="0" xfId="0"/>
    <xf numFmtId="0" fontId="8" fillId="0" borderId="0" xfId="0" applyFont="1" applyAlignment="1">
      <alignment horizontal="left" vertical="center" wrapText="1"/>
    </xf>
    <xf numFmtId="0" fontId="7" fillId="5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7" fillId="2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6"/>
  <sheetViews>
    <sheetView workbookViewId="0">
      <pane xSplit="1" ySplit="5" topLeftCell="B6" activePane="bottomRight" state="frozen"/>
      <selection pane="topRight"/>
      <selection pane="bottomLeft"/>
      <selection pane="bottomRight" activeCell="R24" sqref="R24"/>
    </sheetView>
  </sheetViews>
  <sheetFormatPr baseColWidth="10" defaultColWidth="8.83203125" defaultRowHeight="15" x14ac:dyDescent="0.2"/>
  <cols>
    <col min="1" max="1" width="9" customWidth="1"/>
    <col min="2" max="2" width="10" customWidth="1"/>
    <col min="3" max="3" width="12" customWidth="1"/>
    <col min="4" max="4" width="10" customWidth="1"/>
    <col min="5" max="5" width="12" customWidth="1"/>
    <col min="6" max="6" width="7" customWidth="1"/>
    <col min="7" max="7" width="11" customWidth="1"/>
    <col min="8" max="10" width="9" customWidth="1"/>
    <col min="11" max="12" width="10" customWidth="1"/>
    <col min="13" max="14" width="11" customWidth="1"/>
    <col min="15" max="15" width="8" customWidth="1"/>
    <col min="16" max="16" width="10" customWidth="1"/>
    <col min="17" max="17" width="9" customWidth="1"/>
    <col min="18" max="18" width="8" customWidth="1"/>
    <col min="19" max="22" width="13" hidden="1" customWidth="1"/>
  </cols>
  <sheetData>
    <row r="1" spans="1:27" ht="28" customHeight="1" x14ac:dyDescent="0.2">
      <c r="A1" s="52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</row>
    <row r="2" spans="1:27" ht="16" customHeight="1" x14ac:dyDescent="0.2">
      <c r="A2" s="46" t="s">
        <v>1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</row>
    <row r="3" spans="1:27" ht="6" customHeight="1" x14ac:dyDescent="0.2"/>
    <row r="4" spans="1:27" ht="36" customHeight="1" x14ac:dyDescent="0.2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</row>
    <row r="5" spans="1:27" ht="6" customHeight="1" x14ac:dyDescent="0.2"/>
    <row r="6" spans="1:27" x14ac:dyDescent="0.2">
      <c r="A6" s="2" t="s">
        <v>20</v>
      </c>
      <c r="B6" s="3">
        <v>394</v>
      </c>
      <c r="C6" s="3">
        <v>0</v>
      </c>
      <c r="D6" s="4">
        <f t="shared" ref="D6:D24" si="0">MAX(B6-C6,0)</f>
        <v>394</v>
      </c>
      <c r="E6" s="3">
        <v>171306</v>
      </c>
      <c r="F6" s="5">
        <v>1</v>
      </c>
      <c r="G6" s="6">
        <f t="shared" ref="G6:G24" si="1">D6/E6</f>
        <v>2.2999778174728263E-3</v>
      </c>
      <c r="H6" s="7">
        <f>IF(G6&gt;=0.107,0.07+1.7*G6,0.14+2*G6)</f>
        <v>0.14459995563494565</v>
      </c>
      <c r="I6" s="7">
        <f t="shared" ref="I6:I23" si="2">(F6*G6)/(1+(F6-H6)*G6)</f>
        <v>2.2954617234908045E-3</v>
      </c>
      <c r="J6" s="7">
        <f t="shared" ref="J6:J24" si="3">1-I6</f>
        <v>0.99770453827650918</v>
      </c>
      <c r="K6" s="3">
        <v>100000</v>
      </c>
      <c r="L6" s="4">
        <f t="shared" ref="L6:L24" si="4">K6*I6</f>
        <v>229.54617234908045</v>
      </c>
      <c r="M6" s="4">
        <f t="shared" ref="M6:M23" si="5">F6*K6-(F6-H6)*L6</f>
        <v>99803.646193988767</v>
      </c>
      <c r="N6" s="4">
        <f>SUM(M6:M24)</f>
        <v>7764961.6192498794</v>
      </c>
      <c r="O6" s="8">
        <f t="shared" ref="O6:O24" si="6">N6/K6</f>
        <v>77.649616192498797</v>
      </c>
      <c r="P6" s="9">
        <f t="shared" ref="P6:P24" si="7">B6/E6</f>
        <v>2.2999778174728263E-3</v>
      </c>
      <c r="Q6" s="10">
        <f t="shared" ref="Q6:Q23" si="8">(F6*P6)/(1+(F6-H6)*P6)</f>
        <v>2.2954617234908045E-3</v>
      </c>
      <c r="R6" s="11">
        <f t="shared" ref="R6:R24" si="9">V6/S6</f>
        <v>74.769445464848133</v>
      </c>
      <c r="S6" s="12">
        <v>100000</v>
      </c>
      <c r="T6" s="12">
        <f t="shared" ref="T6:T24" si="10">S6*Q6</f>
        <v>229.54617234908045</v>
      </c>
      <c r="U6" s="12">
        <f t="shared" ref="U6:U23" si="11">F6*S6-(F6-H6)*T6</f>
        <v>99803.646193988767</v>
      </c>
      <c r="V6" s="12">
        <f>SUM(U6:U24)</f>
        <v>7476944.5464848131</v>
      </c>
    </row>
    <row r="7" spans="1:27" x14ac:dyDescent="0.2">
      <c r="A7" s="13" t="s">
        <v>21</v>
      </c>
      <c r="B7" s="14">
        <v>70</v>
      </c>
      <c r="C7" s="14">
        <v>0</v>
      </c>
      <c r="D7" s="15">
        <f t="shared" si="0"/>
        <v>70</v>
      </c>
      <c r="E7" s="14">
        <v>171306</v>
      </c>
      <c r="F7" s="16">
        <v>4</v>
      </c>
      <c r="G7" s="17">
        <f t="shared" si="1"/>
        <v>4.0862550056623817E-4</v>
      </c>
      <c r="H7" s="18">
        <v>1.5</v>
      </c>
      <c r="I7" s="19">
        <f t="shared" si="2"/>
        <v>1.6328339582810925E-3</v>
      </c>
      <c r="J7" s="19">
        <f t="shared" si="3"/>
        <v>0.99836716604171893</v>
      </c>
      <c r="K7" s="15">
        <f t="shared" ref="K7:K24" si="12">K6*J6</f>
        <v>99770.453827650912</v>
      </c>
      <c r="L7" s="15">
        <f t="shared" si="4"/>
        <v>162.90858504290421</v>
      </c>
      <c r="M7" s="15">
        <f t="shared" si="5"/>
        <v>398674.54384799639</v>
      </c>
      <c r="N7" s="15">
        <f>SUM(M7:M24)</f>
        <v>7665157.9730558908</v>
      </c>
      <c r="O7" s="20">
        <f t="shared" si="6"/>
        <v>76.827935315370169</v>
      </c>
      <c r="P7" s="21">
        <f t="shared" si="7"/>
        <v>4.0862550056623817E-4</v>
      </c>
      <c r="Q7" s="22">
        <f t="shared" si="8"/>
        <v>1.6328339582810925E-3</v>
      </c>
      <c r="R7" s="23">
        <f t="shared" si="9"/>
        <v>73.9411380551051</v>
      </c>
      <c r="S7" s="24">
        <f t="shared" ref="S7:S24" si="13">S6*(1-Q6)</f>
        <v>99770.453827650912</v>
      </c>
      <c r="T7" s="24">
        <f t="shared" si="10"/>
        <v>162.90858504290421</v>
      </c>
      <c r="U7" s="24">
        <f t="shared" si="11"/>
        <v>398674.54384799639</v>
      </c>
      <c r="V7" s="24">
        <f>SUM(U7:U24)</f>
        <v>7377140.9002908245</v>
      </c>
      <c r="AA7" s="57"/>
    </row>
    <row r="8" spans="1:27" x14ac:dyDescent="0.2">
      <c r="A8" s="2" t="s">
        <v>22</v>
      </c>
      <c r="B8" s="3">
        <v>54</v>
      </c>
      <c r="C8" s="3">
        <v>1</v>
      </c>
      <c r="D8" s="4">
        <f t="shared" si="0"/>
        <v>53</v>
      </c>
      <c r="E8" s="3">
        <v>179641</v>
      </c>
      <c r="F8" s="5">
        <v>5</v>
      </c>
      <c r="G8" s="6">
        <f t="shared" si="1"/>
        <v>2.9503287111516858E-4</v>
      </c>
      <c r="H8" s="25">
        <v>2.5</v>
      </c>
      <c r="I8" s="7">
        <f t="shared" si="2"/>
        <v>1.4740771025762971E-3</v>
      </c>
      <c r="J8" s="7">
        <f t="shared" si="3"/>
        <v>0.9985259228974237</v>
      </c>
      <c r="K8" s="4">
        <f t="shared" si="12"/>
        <v>99607.545242608016</v>
      </c>
      <c r="L8" s="4">
        <f t="shared" si="4"/>
        <v>146.82920168596107</v>
      </c>
      <c r="M8" s="4">
        <f t="shared" si="5"/>
        <v>497670.65320882516</v>
      </c>
      <c r="N8" s="4">
        <f>SUM(M8:M24)</f>
        <v>7266483.429207894</v>
      </c>
      <c r="O8" s="26">
        <f t="shared" si="6"/>
        <v>72.951134489956203</v>
      </c>
      <c r="P8" s="9">
        <f t="shared" si="7"/>
        <v>3.0059952906073779E-4</v>
      </c>
      <c r="Q8" s="10">
        <f t="shared" si="8"/>
        <v>1.5018689925240299E-3</v>
      </c>
      <c r="R8" s="11">
        <f t="shared" si="9"/>
        <v>70.059615859880935</v>
      </c>
      <c r="S8" s="12">
        <f t="shared" si="13"/>
        <v>99607.545242608016</v>
      </c>
      <c r="T8" s="12">
        <f t="shared" si="10"/>
        <v>149.59748362130742</v>
      </c>
      <c r="U8" s="12">
        <f t="shared" si="11"/>
        <v>497663.7325039868</v>
      </c>
      <c r="V8" s="12">
        <f>SUM(U8:U24)</f>
        <v>6978466.3564428277</v>
      </c>
    </row>
    <row r="9" spans="1:27" x14ac:dyDescent="0.2">
      <c r="A9" s="13" t="s">
        <v>23</v>
      </c>
      <c r="B9" s="14">
        <v>237</v>
      </c>
      <c r="C9" s="14">
        <v>10</v>
      </c>
      <c r="D9" s="15">
        <f t="shared" si="0"/>
        <v>227</v>
      </c>
      <c r="E9" s="14">
        <v>179707</v>
      </c>
      <c r="F9" s="16">
        <v>5</v>
      </c>
      <c r="G9" s="17">
        <f t="shared" si="1"/>
        <v>1.26316726671749E-3</v>
      </c>
      <c r="H9" s="18">
        <v>2.5</v>
      </c>
      <c r="I9" s="19">
        <f t="shared" si="2"/>
        <v>6.2959542253618779E-3</v>
      </c>
      <c r="J9" s="19">
        <f t="shared" si="3"/>
        <v>0.99370404577463811</v>
      </c>
      <c r="K9" s="15">
        <f t="shared" si="12"/>
        <v>99460.716040922052</v>
      </c>
      <c r="L9" s="15">
        <f t="shared" si="4"/>
        <v>626.2001154153611</v>
      </c>
      <c r="M9" s="15">
        <f t="shared" si="5"/>
        <v>495738.07991607185</v>
      </c>
      <c r="N9" s="15">
        <f>SUM(M9:M24)</f>
        <v>6768812.7759990701</v>
      </c>
      <c r="O9" s="20">
        <f t="shared" si="6"/>
        <v>68.055138203651325</v>
      </c>
      <c r="P9" s="21">
        <f t="shared" si="7"/>
        <v>1.3188134018151769E-3</v>
      </c>
      <c r="Q9" s="22">
        <f t="shared" si="8"/>
        <v>6.5723975940033107E-3</v>
      </c>
      <c r="R9" s="23">
        <f t="shared" si="9"/>
        <v>65.161234169475961</v>
      </c>
      <c r="S9" s="24">
        <f t="shared" si="13"/>
        <v>99457.947758986702</v>
      </c>
      <c r="T9" s="24">
        <f t="shared" si="10"/>
        <v>653.67717655567117</v>
      </c>
      <c r="U9" s="24">
        <f t="shared" si="11"/>
        <v>495655.54585354438</v>
      </c>
      <c r="V9" s="24">
        <f>SUM(U9:U24)</f>
        <v>6480802.6239388399</v>
      </c>
    </row>
    <row r="10" spans="1:27" x14ac:dyDescent="0.2">
      <c r="A10" s="2" t="s">
        <v>24</v>
      </c>
      <c r="B10" s="3">
        <v>385</v>
      </c>
      <c r="C10" s="3">
        <v>119</v>
      </c>
      <c r="D10" s="4">
        <f t="shared" si="0"/>
        <v>266</v>
      </c>
      <c r="E10" s="3">
        <v>165950</v>
      </c>
      <c r="F10" s="5">
        <v>5</v>
      </c>
      <c r="G10" s="6">
        <f t="shared" si="1"/>
        <v>1.602892437481169E-3</v>
      </c>
      <c r="H10" s="25">
        <v>2.5</v>
      </c>
      <c r="I10" s="7">
        <f t="shared" si="2"/>
        <v>7.9824745671158055E-3</v>
      </c>
      <c r="J10" s="7">
        <f t="shared" si="3"/>
        <v>0.99201752543288424</v>
      </c>
      <c r="K10" s="4">
        <f t="shared" si="12"/>
        <v>98834.515925506697</v>
      </c>
      <c r="L10" s="4">
        <f t="shared" si="4"/>
        <v>788.94400972855931</v>
      </c>
      <c r="M10" s="4">
        <f t="shared" si="5"/>
        <v>492200.21960321208</v>
      </c>
      <c r="N10" s="4">
        <f>SUM(M10:M24)</f>
        <v>6273074.6960829981</v>
      </c>
      <c r="O10" s="26">
        <f t="shared" si="6"/>
        <v>63.470485359700895</v>
      </c>
      <c r="P10" s="9">
        <f t="shared" si="7"/>
        <v>2.3199758963543234E-3</v>
      </c>
      <c r="Q10" s="10">
        <f t="shared" si="8"/>
        <v>1.1532988841458846E-2</v>
      </c>
      <c r="R10" s="11">
        <f t="shared" si="9"/>
        <v>60.575793362008284</v>
      </c>
      <c r="S10" s="12">
        <f t="shared" si="13"/>
        <v>98804.270582431025</v>
      </c>
      <c r="T10" s="12">
        <f t="shared" si="10"/>
        <v>1139.5085501156575</v>
      </c>
      <c r="U10" s="12">
        <f t="shared" si="11"/>
        <v>491172.58153686597</v>
      </c>
      <c r="V10" s="12">
        <f>SUM(U10:U24)</f>
        <v>5985147.0780852959</v>
      </c>
    </row>
    <row r="11" spans="1:27" x14ac:dyDescent="0.2">
      <c r="A11" s="13" t="s">
        <v>25</v>
      </c>
      <c r="B11" s="14">
        <v>473</v>
      </c>
      <c r="C11" s="14">
        <v>226</v>
      </c>
      <c r="D11" s="15">
        <f t="shared" si="0"/>
        <v>247</v>
      </c>
      <c r="E11" s="14">
        <v>134827</v>
      </c>
      <c r="F11" s="16">
        <v>5</v>
      </c>
      <c r="G11" s="17">
        <f t="shared" si="1"/>
        <v>1.8319772745815008E-3</v>
      </c>
      <c r="H11" s="18">
        <v>2.5</v>
      </c>
      <c r="I11" s="19">
        <f t="shared" si="2"/>
        <v>9.1181258744356553E-3</v>
      </c>
      <c r="J11" s="19">
        <f t="shared" si="3"/>
        <v>0.99088187412556439</v>
      </c>
      <c r="K11" s="15">
        <f t="shared" si="12"/>
        <v>98045.571915778142</v>
      </c>
      <c r="L11" s="15">
        <f t="shared" si="4"/>
        <v>893.99186615909855</v>
      </c>
      <c r="M11" s="15">
        <f t="shared" si="5"/>
        <v>487992.879913493</v>
      </c>
      <c r="N11" s="15">
        <f>SUM(M11:M24)</f>
        <v>5780874.4764797846</v>
      </c>
      <c r="O11" s="20">
        <f t="shared" si="6"/>
        <v>58.961097003397541</v>
      </c>
      <c r="P11" s="21">
        <f t="shared" si="7"/>
        <v>3.5081993962633598E-3</v>
      </c>
      <c r="Q11" s="22">
        <f t="shared" si="8"/>
        <v>1.7388491245096848E-2</v>
      </c>
      <c r="R11" s="23">
        <f t="shared" si="9"/>
        <v>56.253395618069298</v>
      </c>
      <c r="S11" s="24">
        <f t="shared" si="13"/>
        <v>97664.762032315368</v>
      </c>
      <c r="T11" s="24">
        <f t="shared" si="10"/>
        <v>1698.2428595533829</v>
      </c>
      <c r="U11" s="24">
        <f t="shared" si="11"/>
        <v>484078.20301269338</v>
      </c>
      <c r="V11" s="24">
        <f>SUM(U11:U24)</f>
        <v>5493974.4965484301</v>
      </c>
    </row>
    <row r="12" spans="1:27" x14ac:dyDescent="0.2">
      <c r="A12" s="2" t="s">
        <v>26</v>
      </c>
      <c r="B12" s="3">
        <v>459</v>
      </c>
      <c r="C12" s="3">
        <v>273</v>
      </c>
      <c r="D12" s="4">
        <f t="shared" si="0"/>
        <v>186</v>
      </c>
      <c r="E12" s="3">
        <v>118008</v>
      </c>
      <c r="F12" s="5">
        <v>5</v>
      </c>
      <c r="G12" s="6">
        <f t="shared" si="1"/>
        <v>1.5761643278421802E-3</v>
      </c>
      <c r="H12" s="25">
        <v>2.5</v>
      </c>
      <c r="I12" s="7">
        <f t="shared" si="2"/>
        <v>7.8498898483198697E-3</v>
      </c>
      <c r="J12" s="7">
        <f t="shared" si="3"/>
        <v>0.99215011015168009</v>
      </c>
      <c r="K12" s="4">
        <f t="shared" si="12"/>
        <v>97151.58004961905</v>
      </c>
      <c r="L12" s="4">
        <f t="shared" si="4"/>
        <v>762.62920197973972</v>
      </c>
      <c r="M12" s="4">
        <f t="shared" si="5"/>
        <v>483851.3272431459</v>
      </c>
      <c r="N12" s="4">
        <f>SUM(M12:M24)</f>
        <v>5292881.5965662915</v>
      </c>
      <c r="O12" s="26">
        <f t="shared" si="6"/>
        <v>54.480653776943342</v>
      </c>
      <c r="P12" s="9">
        <f t="shared" si="7"/>
        <v>3.8895668090298961E-3</v>
      </c>
      <c r="Q12" s="10">
        <f t="shared" si="8"/>
        <v>1.9260546093130406E-2</v>
      </c>
      <c r="R12" s="11">
        <f t="shared" si="9"/>
        <v>52.204626537686146</v>
      </c>
      <c r="S12" s="12">
        <f t="shared" si="13"/>
        <v>95966.519172761982</v>
      </c>
      <c r="T12" s="12">
        <f t="shared" si="10"/>
        <v>1848.3675659242649</v>
      </c>
      <c r="U12" s="12">
        <f t="shared" si="11"/>
        <v>475211.67694899929</v>
      </c>
      <c r="V12" s="12">
        <f>SUM(U12:U24)</f>
        <v>5009896.2935357364</v>
      </c>
    </row>
    <row r="13" spans="1:27" x14ac:dyDescent="0.2">
      <c r="A13" s="13" t="s">
        <v>27</v>
      </c>
      <c r="B13" s="14">
        <v>431</v>
      </c>
      <c r="C13" s="14">
        <v>247</v>
      </c>
      <c r="D13" s="15">
        <f t="shared" si="0"/>
        <v>184</v>
      </c>
      <c r="E13" s="14">
        <v>109487</v>
      </c>
      <c r="F13" s="16">
        <v>5</v>
      </c>
      <c r="G13" s="17">
        <f t="shared" si="1"/>
        <v>1.6805648159142182E-3</v>
      </c>
      <c r="H13" s="18">
        <v>2.5</v>
      </c>
      <c r="I13" s="19">
        <f t="shared" si="2"/>
        <v>8.3676680582462463E-3</v>
      </c>
      <c r="J13" s="19">
        <f t="shared" si="3"/>
        <v>0.99163233194175371</v>
      </c>
      <c r="K13" s="15">
        <f t="shared" si="12"/>
        <v>96388.950847639309</v>
      </c>
      <c r="L13" s="15">
        <f t="shared" si="4"/>
        <v>806.5507451756589</v>
      </c>
      <c r="M13" s="15">
        <f t="shared" si="5"/>
        <v>479928.37737525738</v>
      </c>
      <c r="N13" s="15">
        <f>SUM(M13:M24)</f>
        <v>4809030.269323146</v>
      </c>
      <c r="O13" s="20">
        <f t="shared" si="6"/>
        <v>49.891924614105555</v>
      </c>
      <c r="P13" s="21">
        <f t="shared" si="7"/>
        <v>3.9365404111903696E-3</v>
      </c>
      <c r="Q13" s="22">
        <f t="shared" si="8"/>
        <v>1.9490885410778321E-2</v>
      </c>
      <c r="R13" s="23">
        <f t="shared" si="9"/>
        <v>48.18076576269366</v>
      </c>
      <c r="S13" s="24">
        <f t="shared" si="13"/>
        <v>94118.15160683771</v>
      </c>
      <c r="T13" s="24">
        <f t="shared" si="10"/>
        <v>1834.4461080431352</v>
      </c>
      <c r="U13" s="24">
        <f t="shared" si="11"/>
        <v>466004.64276408072</v>
      </c>
      <c r="V13" s="24">
        <f>SUM(U13:U24)</f>
        <v>4534684.6165867373</v>
      </c>
    </row>
    <row r="14" spans="1:27" x14ac:dyDescent="0.2">
      <c r="A14" s="2" t="s">
        <v>28</v>
      </c>
      <c r="B14" s="3">
        <v>482</v>
      </c>
      <c r="C14" s="3">
        <v>180</v>
      </c>
      <c r="D14" s="4">
        <f t="shared" si="0"/>
        <v>302</v>
      </c>
      <c r="E14" s="3">
        <v>102995</v>
      </c>
      <c r="F14" s="5">
        <v>5</v>
      </c>
      <c r="G14" s="6">
        <f t="shared" si="1"/>
        <v>2.9321811738433905E-3</v>
      </c>
      <c r="H14" s="25">
        <v>2.5</v>
      </c>
      <c r="I14" s="7">
        <f t="shared" si="2"/>
        <v>1.4554216867469879E-2</v>
      </c>
      <c r="J14" s="7">
        <f t="shared" si="3"/>
        <v>0.98544578313253017</v>
      </c>
      <c r="K14" s="4">
        <f t="shared" si="12"/>
        <v>95582.400102463653</v>
      </c>
      <c r="L14" s="4">
        <f t="shared" si="4"/>
        <v>1391.1269798045312</v>
      </c>
      <c r="M14" s="4">
        <f t="shared" si="5"/>
        <v>474434.18306280696</v>
      </c>
      <c r="N14" s="4">
        <f>SUM(M14:M24)</f>
        <v>4329101.8919478878</v>
      </c>
      <c r="O14" s="26">
        <f t="shared" si="6"/>
        <v>45.291830790052579</v>
      </c>
      <c r="P14" s="9">
        <f t="shared" si="7"/>
        <v>4.6798388271275301E-3</v>
      </c>
      <c r="Q14" s="10">
        <f t="shared" si="8"/>
        <v>2.3128598848368521E-2</v>
      </c>
      <c r="R14" s="11">
        <f t="shared" si="9"/>
        <v>44.088823176652816</v>
      </c>
      <c r="S14" s="12">
        <f t="shared" si="13"/>
        <v>92283.705498794574</v>
      </c>
      <c r="T14" s="12">
        <f t="shared" si="10"/>
        <v>2134.3928047226</v>
      </c>
      <c r="U14" s="12">
        <f t="shared" si="11"/>
        <v>456082.54548216634</v>
      </c>
      <c r="V14" s="12">
        <f>SUM(U14:U24)</f>
        <v>4068679.973822657</v>
      </c>
    </row>
    <row r="15" spans="1:27" x14ac:dyDescent="0.2">
      <c r="A15" s="13" t="s">
        <v>29</v>
      </c>
      <c r="B15" s="14">
        <v>524</v>
      </c>
      <c r="C15" s="14">
        <v>190</v>
      </c>
      <c r="D15" s="15">
        <f t="shared" si="0"/>
        <v>334</v>
      </c>
      <c r="E15" s="14">
        <v>96269</v>
      </c>
      <c r="F15" s="16">
        <v>5</v>
      </c>
      <c r="G15" s="17">
        <f t="shared" si="1"/>
        <v>3.4694449926767701E-3</v>
      </c>
      <c r="H15" s="18">
        <v>2.5</v>
      </c>
      <c r="I15" s="19">
        <f t="shared" si="2"/>
        <v>1.719805569286538E-2</v>
      </c>
      <c r="J15" s="19">
        <f t="shared" si="3"/>
        <v>0.98280194430713463</v>
      </c>
      <c r="K15" s="15">
        <f t="shared" si="12"/>
        <v>94191.273122659128</v>
      </c>
      <c r="L15" s="15">
        <f t="shared" si="4"/>
        <v>1619.9067609453857</v>
      </c>
      <c r="M15" s="15">
        <f t="shared" si="5"/>
        <v>466906.59871093219</v>
      </c>
      <c r="N15" s="15">
        <f>SUM(M15:M24)</f>
        <v>3854667.7088850806</v>
      </c>
      <c r="O15" s="20">
        <f t="shared" si="6"/>
        <v>40.923830638379833</v>
      </c>
      <c r="P15" s="21">
        <f t="shared" si="7"/>
        <v>5.4430813657563703E-3</v>
      </c>
      <c r="Q15" s="22">
        <f t="shared" si="8"/>
        <v>2.6850039455210653E-2</v>
      </c>
      <c r="R15" s="23">
        <f t="shared" si="9"/>
        <v>40.073488309335133</v>
      </c>
      <c r="S15" s="24">
        <f t="shared" si="13"/>
        <v>90149.312694071981</v>
      </c>
      <c r="T15" s="24">
        <f t="shared" si="10"/>
        <v>2420.5126026959551</v>
      </c>
      <c r="U15" s="24">
        <f t="shared" si="11"/>
        <v>444695.28196361999</v>
      </c>
      <c r="V15" s="24">
        <f>SUM(U15:U24)</f>
        <v>3612597.4283404909</v>
      </c>
    </row>
    <row r="16" spans="1:27" x14ac:dyDescent="0.2">
      <c r="A16" s="2" t="s">
        <v>30</v>
      </c>
      <c r="B16" s="3">
        <v>29</v>
      </c>
      <c r="C16" s="3">
        <v>138</v>
      </c>
      <c r="D16" s="4">
        <f t="shared" si="0"/>
        <v>0</v>
      </c>
      <c r="E16" s="3">
        <v>87874</v>
      </c>
      <c r="F16" s="5">
        <v>5</v>
      </c>
      <c r="G16" s="6">
        <f t="shared" si="1"/>
        <v>0</v>
      </c>
      <c r="H16" s="25">
        <v>2.5</v>
      </c>
      <c r="I16" s="7">
        <f t="shared" si="2"/>
        <v>0</v>
      </c>
      <c r="J16" s="7">
        <f t="shared" si="3"/>
        <v>1</v>
      </c>
      <c r="K16" s="4">
        <f t="shared" si="12"/>
        <v>92571.36636171375</v>
      </c>
      <c r="L16" s="4">
        <f t="shared" si="4"/>
        <v>0</v>
      </c>
      <c r="M16" s="4">
        <f t="shared" si="5"/>
        <v>462856.83180856874</v>
      </c>
      <c r="N16" s="4">
        <f>SUM(M16:M24)</f>
        <v>3387761.1101741483</v>
      </c>
      <c r="O16" s="26">
        <f t="shared" si="6"/>
        <v>36.596209425458802</v>
      </c>
      <c r="P16" s="9">
        <f t="shared" si="7"/>
        <v>3.3001798028996064E-4</v>
      </c>
      <c r="Q16" s="10">
        <f t="shared" si="8"/>
        <v>1.6487296253972585E-3</v>
      </c>
      <c r="R16" s="11">
        <f t="shared" si="9"/>
        <v>36.110172977143961</v>
      </c>
      <c r="S16" s="12">
        <f t="shared" si="13"/>
        <v>87728.800091376019</v>
      </c>
      <c r="T16" s="12">
        <f t="shared" si="10"/>
        <v>144.64107171120537</v>
      </c>
      <c r="U16" s="12">
        <f t="shared" si="11"/>
        <v>438282.39777760208</v>
      </c>
      <c r="V16" s="12">
        <f>SUM(U16:U24)</f>
        <v>3167902.146376871</v>
      </c>
    </row>
    <row r="17" spans="1:22" x14ac:dyDescent="0.2">
      <c r="A17" s="13" t="s">
        <v>31</v>
      </c>
      <c r="B17" s="14">
        <v>576</v>
      </c>
      <c r="C17" s="14">
        <v>96</v>
      </c>
      <c r="D17" s="15">
        <f t="shared" si="0"/>
        <v>480</v>
      </c>
      <c r="E17" s="14">
        <v>78646</v>
      </c>
      <c r="F17" s="16">
        <v>5</v>
      </c>
      <c r="G17" s="17">
        <f t="shared" si="1"/>
        <v>6.1032983241360019E-3</v>
      </c>
      <c r="H17" s="18">
        <v>2.5</v>
      </c>
      <c r="I17" s="19">
        <f t="shared" si="2"/>
        <v>3.0057861383162587E-2</v>
      </c>
      <c r="J17" s="19">
        <f t="shared" si="3"/>
        <v>0.96994213861683742</v>
      </c>
      <c r="K17" s="15">
        <f t="shared" si="12"/>
        <v>92571.36636171375</v>
      </c>
      <c r="L17" s="15">
        <f t="shared" si="4"/>
        <v>2782.497298150352</v>
      </c>
      <c r="M17" s="15">
        <f t="shared" si="5"/>
        <v>455900.58856319287</v>
      </c>
      <c r="N17" s="15">
        <f>SUM(M17:M24)</f>
        <v>2924904.2783655799</v>
      </c>
      <c r="O17" s="20">
        <f t="shared" si="6"/>
        <v>31.596209425458802</v>
      </c>
      <c r="P17" s="21">
        <f t="shared" si="7"/>
        <v>7.323957988963202E-3</v>
      </c>
      <c r="Q17" s="22">
        <f t="shared" si="8"/>
        <v>3.5961341557825335E-2</v>
      </c>
      <c r="R17" s="23">
        <f t="shared" si="9"/>
        <v>31.165678578775889</v>
      </c>
      <c r="S17" s="24">
        <f t="shared" si="13"/>
        <v>87584.159019664803</v>
      </c>
      <c r="T17" s="24">
        <f t="shared" si="10"/>
        <v>3149.6438575610546</v>
      </c>
      <c r="U17" s="24">
        <f t="shared" si="11"/>
        <v>430046.68545442139</v>
      </c>
      <c r="V17" s="24">
        <f>SUM(U17:U24)</f>
        <v>2729619.7485992685</v>
      </c>
    </row>
    <row r="18" spans="1:22" x14ac:dyDescent="0.2">
      <c r="A18" s="2" t="s">
        <v>32</v>
      </c>
      <c r="B18" s="3">
        <v>691</v>
      </c>
      <c r="C18" s="3">
        <v>62</v>
      </c>
      <c r="D18" s="4">
        <f t="shared" si="0"/>
        <v>629</v>
      </c>
      <c r="E18" s="3">
        <v>67349</v>
      </c>
      <c r="F18" s="5">
        <v>5</v>
      </c>
      <c r="G18" s="6">
        <f t="shared" si="1"/>
        <v>9.3394111271139883E-3</v>
      </c>
      <c r="H18" s="25">
        <v>2.5</v>
      </c>
      <c r="I18" s="7">
        <f t="shared" si="2"/>
        <v>4.5631624384263263E-2</v>
      </c>
      <c r="J18" s="7">
        <f t="shared" si="3"/>
        <v>0.95436837561573673</v>
      </c>
      <c r="K18" s="4">
        <f t="shared" si="12"/>
        <v>89788.869063563398</v>
      </c>
      <c r="L18" s="4">
        <f t="shared" si="4"/>
        <v>4097.2119469963209</v>
      </c>
      <c r="M18" s="4">
        <f t="shared" si="5"/>
        <v>438701.31545032619</v>
      </c>
      <c r="N18" s="4">
        <f>SUM(M18:M24)</f>
        <v>2469003.6898023868</v>
      </c>
      <c r="O18" s="26">
        <f t="shared" si="6"/>
        <v>27.49788159214399</v>
      </c>
      <c r="P18" s="9">
        <f t="shared" si="7"/>
        <v>1.0259989012457497E-2</v>
      </c>
      <c r="Q18" s="10">
        <f t="shared" si="8"/>
        <v>5.0017010126454008E-2</v>
      </c>
      <c r="R18" s="11">
        <f t="shared" si="9"/>
        <v>27.234988662278138</v>
      </c>
      <c r="S18" s="12">
        <f t="shared" si="13"/>
        <v>84434.515162103751</v>
      </c>
      <c r="T18" s="12">
        <f t="shared" si="10"/>
        <v>4223.1619998851775</v>
      </c>
      <c r="U18" s="12">
        <f t="shared" si="11"/>
        <v>411614.67081080581</v>
      </c>
      <c r="V18" s="12">
        <f>SUM(U18:U24)</f>
        <v>2299573.0631448473</v>
      </c>
    </row>
    <row r="19" spans="1:22" x14ac:dyDescent="0.2">
      <c r="A19" s="13" t="s">
        <v>33</v>
      </c>
      <c r="B19" s="14">
        <v>800</v>
      </c>
      <c r="C19" s="14">
        <v>41</v>
      </c>
      <c r="D19" s="15">
        <f t="shared" si="0"/>
        <v>759</v>
      </c>
      <c r="E19" s="14">
        <v>57099</v>
      </c>
      <c r="F19" s="16">
        <v>5</v>
      </c>
      <c r="G19" s="17">
        <f t="shared" si="1"/>
        <v>1.329270214889928E-2</v>
      </c>
      <c r="H19" s="18">
        <v>2.5</v>
      </c>
      <c r="I19" s="19">
        <f t="shared" si="2"/>
        <v>6.4325849838549748E-2</v>
      </c>
      <c r="J19" s="19">
        <f t="shared" si="3"/>
        <v>0.93567415016145028</v>
      </c>
      <c r="K19" s="15">
        <f t="shared" si="12"/>
        <v>85691.657116567076</v>
      </c>
      <c r="L19" s="15">
        <f t="shared" si="4"/>
        <v>5512.1886680967864</v>
      </c>
      <c r="M19" s="15">
        <f t="shared" si="5"/>
        <v>414677.81391259341</v>
      </c>
      <c r="N19" s="15">
        <f>SUM(M19:M24)</f>
        <v>2030302.3743520607</v>
      </c>
      <c r="O19" s="20">
        <f t="shared" si="6"/>
        <v>23.693116024004805</v>
      </c>
      <c r="P19" s="21">
        <f t="shared" si="7"/>
        <v>1.4010753253121771E-2</v>
      </c>
      <c r="Q19" s="22">
        <f t="shared" si="8"/>
        <v>6.7683040322171276E-2</v>
      </c>
      <c r="R19" s="23">
        <f t="shared" si="9"/>
        <v>23.537296378928488</v>
      </c>
      <c r="S19" s="24">
        <f t="shared" si="13"/>
        <v>80211.353162218569</v>
      </c>
      <c r="T19" s="24">
        <f t="shared" si="10"/>
        <v>5428.9482503743602</v>
      </c>
      <c r="U19" s="24">
        <f t="shared" si="11"/>
        <v>387484.39518515696</v>
      </c>
      <c r="V19" s="24">
        <f>SUM(U19:U24)</f>
        <v>1887958.3923340412</v>
      </c>
    </row>
    <row r="20" spans="1:22" x14ac:dyDescent="0.2">
      <c r="A20" s="2" t="s">
        <v>34</v>
      </c>
      <c r="B20" s="3">
        <v>847</v>
      </c>
      <c r="C20" s="3">
        <v>20</v>
      </c>
      <c r="D20" s="4">
        <f t="shared" si="0"/>
        <v>827</v>
      </c>
      <c r="E20" s="3">
        <v>46742</v>
      </c>
      <c r="F20" s="5">
        <v>5</v>
      </c>
      <c r="G20" s="6">
        <f t="shared" si="1"/>
        <v>1.7692867228616661E-2</v>
      </c>
      <c r="H20" s="25">
        <v>2.5</v>
      </c>
      <c r="I20" s="7">
        <f t="shared" si="2"/>
        <v>8.4717114496153406E-2</v>
      </c>
      <c r="J20" s="7">
        <f t="shared" si="3"/>
        <v>0.91528288550384662</v>
      </c>
      <c r="K20" s="4">
        <f t="shared" si="12"/>
        <v>80179.468448470288</v>
      </c>
      <c r="L20" s="4">
        <f t="shared" si="4"/>
        <v>6792.5732087897768</v>
      </c>
      <c r="M20" s="4">
        <f t="shared" si="5"/>
        <v>383915.90922037698</v>
      </c>
      <c r="N20" s="4">
        <f>SUM(M20:M24)</f>
        <v>1615624.5604394674</v>
      </c>
      <c r="O20" s="26">
        <f t="shared" si="6"/>
        <v>20.150103158613437</v>
      </c>
      <c r="P20" s="9">
        <f t="shared" si="7"/>
        <v>1.8120747935475589E-2</v>
      </c>
      <c r="Q20" s="10">
        <f t="shared" si="8"/>
        <v>8.6677104759565707E-2</v>
      </c>
      <c r="R20" s="11">
        <f t="shared" si="9"/>
        <v>20.064532545024317</v>
      </c>
      <c r="S20" s="12">
        <f t="shared" si="13"/>
        <v>74782.404911844205</v>
      </c>
      <c r="T20" s="12">
        <f t="shared" si="10"/>
        <v>6481.9223447161812</v>
      </c>
      <c r="U20" s="12">
        <f t="shared" si="11"/>
        <v>357707.21869743057</v>
      </c>
      <c r="V20" s="12">
        <f>SUM(U20:U24)</f>
        <v>1500473.9971488845</v>
      </c>
    </row>
    <row r="21" spans="1:22" x14ac:dyDescent="0.2">
      <c r="A21" s="13" t="s">
        <v>35</v>
      </c>
      <c r="B21" s="14">
        <v>911</v>
      </c>
      <c r="C21" s="14">
        <v>10</v>
      </c>
      <c r="D21" s="15">
        <f t="shared" si="0"/>
        <v>901</v>
      </c>
      <c r="E21" s="14">
        <v>36091</v>
      </c>
      <c r="F21" s="16">
        <v>5</v>
      </c>
      <c r="G21" s="17">
        <f t="shared" si="1"/>
        <v>2.4964672633066416E-2</v>
      </c>
      <c r="H21" s="18">
        <v>2.5</v>
      </c>
      <c r="I21" s="19">
        <f t="shared" si="2"/>
        <v>0.11749057858567945</v>
      </c>
      <c r="J21" s="19">
        <f t="shared" si="3"/>
        <v>0.88250942141432054</v>
      </c>
      <c r="K21" s="15">
        <f t="shared" si="12"/>
        <v>73386.895239680511</v>
      </c>
      <c r="L21" s="15">
        <f t="shared" si="4"/>
        <v>8622.2687823167089</v>
      </c>
      <c r="M21" s="15">
        <f t="shared" si="5"/>
        <v>345378.80424261081</v>
      </c>
      <c r="N21" s="15">
        <f>SUM(M21:M24)</f>
        <v>1231708.6512190904</v>
      </c>
      <c r="O21" s="20">
        <f t="shared" si="6"/>
        <v>16.78376837167383</v>
      </c>
      <c r="P21" s="21">
        <f t="shared" si="7"/>
        <v>2.5241750020780804E-2</v>
      </c>
      <c r="Q21" s="22">
        <f t="shared" si="8"/>
        <v>0.1187171768508021</v>
      </c>
      <c r="R21" s="23">
        <f t="shared" si="9"/>
        <v>16.731459800863107</v>
      </c>
      <c r="S21" s="24">
        <f t="shared" si="13"/>
        <v>68300.482567128027</v>
      </c>
      <c r="T21" s="24">
        <f t="shared" si="10"/>
        <v>8108.4404679168638</v>
      </c>
      <c r="U21" s="24">
        <f t="shared" si="11"/>
        <v>321231.31166584796</v>
      </c>
      <c r="V21" s="24">
        <f>SUM(U21:U24)</f>
        <v>1142766.7784514539</v>
      </c>
    </row>
    <row r="22" spans="1:22" x14ac:dyDescent="0.2">
      <c r="A22" s="2" t="s">
        <v>36</v>
      </c>
      <c r="B22" s="3">
        <v>988</v>
      </c>
      <c r="C22" s="3">
        <v>8</v>
      </c>
      <c r="D22" s="4">
        <f t="shared" si="0"/>
        <v>980</v>
      </c>
      <c r="E22" s="3">
        <v>26649</v>
      </c>
      <c r="F22" s="5">
        <v>5</v>
      </c>
      <c r="G22" s="6">
        <f t="shared" si="1"/>
        <v>3.6774363015497767E-2</v>
      </c>
      <c r="H22" s="25">
        <v>2.5</v>
      </c>
      <c r="I22" s="7">
        <f t="shared" si="2"/>
        <v>0.16839066634592254</v>
      </c>
      <c r="J22" s="7">
        <f t="shared" si="3"/>
        <v>0.83160933365407752</v>
      </c>
      <c r="K22" s="4">
        <f t="shared" si="12"/>
        <v>64764.626457363804</v>
      </c>
      <c r="L22" s="4">
        <f t="shared" si="4"/>
        <v>10905.758604800256</v>
      </c>
      <c r="M22" s="4">
        <f t="shared" si="5"/>
        <v>296558.7357748184</v>
      </c>
      <c r="N22" s="4">
        <f>SUM(M22:M24)</f>
        <v>886329.84697647963</v>
      </c>
      <c r="O22" s="26">
        <f t="shared" si="6"/>
        <v>13.685400433212921</v>
      </c>
      <c r="P22" s="9">
        <f t="shared" si="7"/>
        <v>3.7074561897256934E-2</v>
      </c>
      <c r="Q22" s="10">
        <f t="shared" si="8"/>
        <v>0.16964868299048733</v>
      </c>
      <c r="R22" s="11">
        <f t="shared" si="9"/>
        <v>13.648572770325938</v>
      </c>
      <c r="S22" s="12">
        <f t="shared" si="13"/>
        <v>60192.042099211161</v>
      </c>
      <c r="T22" s="12">
        <f t="shared" si="10"/>
        <v>10211.500668639141</v>
      </c>
      <c r="U22" s="12">
        <f t="shared" si="11"/>
        <v>275431.45882445795</v>
      </c>
      <c r="V22" s="12">
        <f>SUM(U22:U24)</f>
        <v>821535.466785606</v>
      </c>
    </row>
    <row r="23" spans="1:22" x14ac:dyDescent="0.2">
      <c r="A23" s="13" t="s">
        <v>37</v>
      </c>
      <c r="B23" s="14">
        <v>1078</v>
      </c>
      <c r="C23" s="14">
        <v>5</v>
      </c>
      <c r="D23" s="15">
        <f t="shared" si="0"/>
        <v>1073</v>
      </c>
      <c r="E23" s="14">
        <v>17159</v>
      </c>
      <c r="F23" s="16">
        <v>5</v>
      </c>
      <c r="G23" s="17">
        <f t="shared" si="1"/>
        <v>6.2532781630631154E-2</v>
      </c>
      <c r="H23" s="18">
        <v>2.5</v>
      </c>
      <c r="I23" s="19">
        <f t="shared" si="2"/>
        <v>0.27039286344278401</v>
      </c>
      <c r="J23" s="19">
        <f t="shared" si="3"/>
        <v>0.72960713655721599</v>
      </c>
      <c r="K23" s="15">
        <f t="shared" si="12"/>
        <v>53858.867852563555</v>
      </c>
      <c r="L23" s="15">
        <f t="shared" si="4"/>
        <v>14563.053500441167</v>
      </c>
      <c r="M23" s="15">
        <f t="shared" si="5"/>
        <v>232886.70551171483</v>
      </c>
      <c r="N23" s="15">
        <f>SUM(M23:M24)</f>
        <v>589771.11120166117</v>
      </c>
      <c r="O23" s="20">
        <f t="shared" si="6"/>
        <v>10.950306508783948</v>
      </c>
      <c r="P23" s="21">
        <f t="shared" si="7"/>
        <v>6.2824173902908093E-2</v>
      </c>
      <c r="Q23" s="22">
        <f t="shared" si="8"/>
        <v>0.27148181726604209</v>
      </c>
      <c r="R23" s="23">
        <f t="shared" si="9"/>
        <v>10.926332375165266</v>
      </c>
      <c r="S23" s="24">
        <f t="shared" si="13"/>
        <v>49980.541430572019</v>
      </c>
      <c r="T23" s="24">
        <f t="shared" si="10"/>
        <v>13568.808215512399</v>
      </c>
      <c r="U23" s="24">
        <f t="shared" si="11"/>
        <v>215980.68661407911</v>
      </c>
      <c r="V23" s="24">
        <f>SUM(U23:U24)</f>
        <v>546104.00796114793</v>
      </c>
    </row>
    <row r="24" spans="1:22" x14ac:dyDescent="0.2">
      <c r="A24" s="2" t="s">
        <v>38</v>
      </c>
      <c r="B24" s="3">
        <v>1747</v>
      </c>
      <c r="C24" s="3">
        <v>3</v>
      </c>
      <c r="D24" s="4">
        <f t="shared" si="0"/>
        <v>1744</v>
      </c>
      <c r="E24" s="3">
        <v>15839</v>
      </c>
      <c r="F24" s="5" t="s">
        <v>39</v>
      </c>
      <c r="G24" s="6">
        <f t="shared" si="1"/>
        <v>0.11010796136119705</v>
      </c>
      <c r="H24" s="7">
        <f>1/G24</f>
        <v>9.0819954128440372</v>
      </c>
      <c r="I24" s="25">
        <v>1</v>
      </c>
      <c r="J24" s="7">
        <f t="shared" si="3"/>
        <v>0</v>
      </c>
      <c r="K24" s="4">
        <f t="shared" si="12"/>
        <v>39295.81435212239</v>
      </c>
      <c r="L24" s="4">
        <f t="shared" si="4"/>
        <v>39295.81435212239</v>
      </c>
      <c r="M24" s="4">
        <f>K24/G24</f>
        <v>356884.40568994638</v>
      </c>
      <c r="N24" s="4">
        <f>SUM(M24:M24)</f>
        <v>356884.40568994638</v>
      </c>
      <c r="O24" s="26">
        <f t="shared" si="6"/>
        <v>9.0819954128440354</v>
      </c>
      <c r="P24" s="9">
        <f t="shared" si="7"/>
        <v>0.11029736725803396</v>
      </c>
      <c r="Q24" s="10">
        <v>1</v>
      </c>
      <c r="R24" s="11">
        <f t="shared" si="9"/>
        <v>9.0663995420721246</v>
      </c>
      <c r="S24" s="12">
        <f t="shared" si="13"/>
        <v>36411.733215059619</v>
      </c>
      <c r="T24" s="12">
        <f t="shared" si="10"/>
        <v>36411.733215059619</v>
      </c>
      <c r="U24" s="12">
        <f>S24/P24</f>
        <v>330123.32134706888</v>
      </c>
      <c r="V24" s="12">
        <f>SUM(U24:U24)</f>
        <v>330123.32134706888</v>
      </c>
    </row>
    <row r="26" spans="1:22" x14ac:dyDescent="0.2">
      <c r="A26" s="53" t="s">
        <v>40</v>
      </c>
      <c r="B26" s="47"/>
      <c r="C26" s="47"/>
      <c r="D26" s="47"/>
      <c r="E26" s="47"/>
      <c r="F26" s="47"/>
      <c r="G26" s="27">
        <f>O6</f>
        <v>77.649616192498797</v>
      </c>
      <c r="H26" s="46" t="s">
        <v>41</v>
      </c>
      <c r="I26" s="47"/>
      <c r="J26" s="47"/>
      <c r="K26" s="47"/>
      <c r="L26" s="47"/>
      <c r="M26" s="47"/>
      <c r="N26" s="47"/>
      <c r="O26" s="47"/>
      <c r="P26" s="47"/>
      <c r="Q26" s="47"/>
      <c r="R26" s="47"/>
    </row>
    <row r="27" spans="1:22" x14ac:dyDescent="0.2">
      <c r="A27" s="51" t="s">
        <v>42</v>
      </c>
      <c r="B27" s="47"/>
      <c r="C27" s="47"/>
      <c r="D27" s="47"/>
      <c r="E27" s="47"/>
      <c r="F27" s="47"/>
      <c r="G27" s="28">
        <v>74.3</v>
      </c>
      <c r="H27" s="46" t="s">
        <v>43</v>
      </c>
      <c r="I27" s="47"/>
      <c r="J27" s="47"/>
      <c r="K27" s="47"/>
      <c r="L27" s="47"/>
      <c r="M27" s="47"/>
      <c r="N27" s="47"/>
      <c r="O27" s="47"/>
      <c r="P27" s="47"/>
      <c r="Q27" s="47"/>
      <c r="R27" s="47"/>
    </row>
    <row r="28" spans="1:22" x14ac:dyDescent="0.2">
      <c r="A28" s="49" t="s">
        <v>44</v>
      </c>
      <c r="B28" s="47"/>
      <c r="C28" s="47"/>
      <c r="D28" s="47"/>
      <c r="E28" s="47"/>
      <c r="F28" s="47"/>
      <c r="G28" s="29">
        <f>G26-G27</f>
        <v>3.3496161924988002</v>
      </c>
      <c r="H28" s="54" t="s">
        <v>45</v>
      </c>
      <c r="I28" s="47"/>
      <c r="J28" s="47"/>
      <c r="K28" s="47"/>
      <c r="L28" s="47"/>
      <c r="M28" s="47"/>
      <c r="N28" s="47"/>
      <c r="O28" s="47"/>
      <c r="P28" s="47"/>
      <c r="Q28" s="47"/>
      <c r="R28" s="47"/>
    </row>
    <row r="30" spans="1:22" x14ac:dyDescent="0.2">
      <c r="A30" s="48" t="s">
        <v>46</v>
      </c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</row>
    <row r="31" spans="1:22" x14ac:dyDescent="0.2">
      <c r="A31" s="50" t="s">
        <v>47</v>
      </c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</row>
    <row r="32" spans="1:22" x14ac:dyDescent="0.2">
      <c r="A32" s="50" t="s">
        <v>48</v>
      </c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</row>
    <row r="33" spans="1:18" x14ac:dyDescent="0.2">
      <c r="A33" s="50" t="s">
        <v>49</v>
      </c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</row>
    <row r="34" spans="1:18" x14ac:dyDescent="0.2">
      <c r="A34" s="50" t="s">
        <v>50</v>
      </c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</row>
    <row r="35" spans="1:18" x14ac:dyDescent="0.2">
      <c r="A35" s="50" t="s">
        <v>51</v>
      </c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</row>
    <row r="36" spans="1:18" x14ac:dyDescent="0.2">
      <c r="A36" s="50" t="s">
        <v>52</v>
      </c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</row>
  </sheetData>
  <mergeCells count="15">
    <mergeCell ref="A33:R33"/>
    <mergeCell ref="A27:F27"/>
    <mergeCell ref="A32:R32"/>
    <mergeCell ref="A36:R36"/>
    <mergeCell ref="A1:R1"/>
    <mergeCell ref="A26:F26"/>
    <mergeCell ref="A31:R31"/>
    <mergeCell ref="H28:R28"/>
    <mergeCell ref="A34:R34"/>
    <mergeCell ref="A35:R35"/>
    <mergeCell ref="H27:R27"/>
    <mergeCell ref="A30:R30"/>
    <mergeCell ref="H26:R26"/>
    <mergeCell ref="A28:F28"/>
    <mergeCell ref="A2:R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6"/>
  <sheetViews>
    <sheetView tabSelected="1" workbookViewId="0">
      <pane xSplit="1" ySplit="5" topLeftCell="B6" activePane="bottomRight" state="frozen"/>
      <selection pane="topRight"/>
      <selection pane="bottomLeft"/>
      <selection pane="bottomRight" sqref="A1:R1"/>
    </sheetView>
  </sheetViews>
  <sheetFormatPr baseColWidth="10" defaultColWidth="8.83203125" defaultRowHeight="15" x14ac:dyDescent="0.2"/>
  <cols>
    <col min="1" max="1" width="9" customWidth="1"/>
    <col min="2" max="2" width="10" customWidth="1"/>
    <col min="3" max="3" width="12" customWidth="1"/>
    <col min="4" max="4" width="10" customWidth="1"/>
    <col min="5" max="5" width="12" customWidth="1"/>
    <col min="6" max="6" width="7" customWidth="1"/>
    <col min="7" max="7" width="11" customWidth="1"/>
    <col min="8" max="10" width="9" customWidth="1"/>
    <col min="11" max="12" width="10" customWidth="1"/>
    <col min="13" max="14" width="11" customWidth="1"/>
    <col min="15" max="15" width="8" customWidth="1"/>
    <col min="16" max="16" width="10" customWidth="1"/>
    <col min="17" max="17" width="9" customWidth="1"/>
    <col min="18" max="18" width="8" customWidth="1"/>
    <col min="19" max="22" width="13" hidden="1" customWidth="1"/>
  </cols>
  <sheetData>
    <row r="1" spans="1:22" ht="28" customHeight="1" x14ac:dyDescent="0.2">
      <c r="A1" s="52" t="s">
        <v>53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</row>
    <row r="2" spans="1:22" ht="16" customHeight="1" x14ac:dyDescent="0.2">
      <c r="A2" s="46" t="s">
        <v>1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</row>
    <row r="3" spans="1:22" ht="6" customHeight="1" x14ac:dyDescent="0.2"/>
    <row r="4" spans="1:22" ht="36" customHeight="1" x14ac:dyDescent="0.2">
      <c r="A4" s="30" t="s">
        <v>2</v>
      </c>
      <c r="B4" s="30" t="s">
        <v>3</v>
      </c>
      <c r="C4" s="30" t="s">
        <v>4</v>
      </c>
      <c r="D4" s="30" t="s">
        <v>5</v>
      </c>
      <c r="E4" s="30" t="s">
        <v>6</v>
      </c>
      <c r="F4" s="30" t="s">
        <v>7</v>
      </c>
      <c r="G4" s="30" t="s">
        <v>8</v>
      </c>
      <c r="H4" s="30" t="s">
        <v>9</v>
      </c>
      <c r="I4" s="30" t="s">
        <v>10</v>
      </c>
      <c r="J4" s="30" t="s">
        <v>11</v>
      </c>
      <c r="K4" s="30" t="s">
        <v>12</v>
      </c>
      <c r="L4" s="30" t="s">
        <v>13</v>
      </c>
      <c r="M4" s="30" t="s">
        <v>14</v>
      </c>
      <c r="N4" s="30" t="s">
        <v>15</v>
      </c>
      <c r="O4" s="30" t="s">
        <v>16</v>
      </c>
      <c r="P4" s="30" t="s">
        <v>17</v>
      </c>
      <c r="Q4" s="30" t="s">
        <v>18</v>
      </c>
      <c r="R4" s="30" t="s">
        <v>19</v>
      </c>
    </row>
    <row r="5" spans="1:22" ht="6" customHeight="1" x14ac:dyDescent="0.2"/>
    <row r="6" spans="1:22" x14ac:dyDescent="0.2">
      <c r="A6" s="31" t="s">
        <v>20</v>
      </c>
      <c r="B6" s="32">
        <v>282</v>
      </c>
      <c r="C6" s="32">
        <v>2</v>
      </c>
      <c r="D6" s="33">
        <f t="shared" ref="D6:D24" si="0">MAX(B6-C6,0)</f>
        <v>280</v>
      </c>
      <c r="E6" s="32">
        <v>167731</v>
      </c>
      <c r="F6" s="34">
        <v>1</v>
      </c>
      <c r="G6" s="35">
        <f t="shared" ref="G6:G24" si="1">D6/E6</f>
        <v>1.6693395973314414E-3</v>
      </c>
      <c r="H6" s="36">
        <f>IF(G6&gt;=0.107,0.07+1.7*G6,0.14+2*G6)</f>
        <v>0.14333867919466289</v>
      </c>
      <c r="I6" s="36">
        <f t="shared" ref="I6:I23" si="2">(F6*G6)/(1+(F6-H6)*G6)</f>
        <v>1.6669557528140872E-3</v>
      </c>
      <c r="J6" s="36">
        <f t="shared" ref="J6:J24" si="3">1-I6</f>
        <v>0.99833304424718594</v>
      </c>
      <c r="K6" s="32">
        <v>100000</v>
      </c>
      <c r="L6" s="33">
        <f t="shared" ref="L6:L24" si="4">K6*I6</f>
        <v>166.69557528140874</v>
      </c>
      <c r="M6" s="33">
        <f t="shared" ref="M6:M23" si="5">F6*K6-(F6-H6)*L6</f>
        <v>99857.198348307022</v>
      </c>
      <c r="N6" s="33">
        <f>SUM(M6:M24)</f>
        <v>8267453.5789189339</v>
      </c>
      <c r="O6" s="8">
        <f t="shared" ref="O6:O24" si="6">N6/K6</f>
        <v>82.674535789189335</v>
      </c>
      <c r="P6" s="37">
        <f t="shared" ref="P6:P24" si="7">B6/E6</f>
        <v>1.6812634515980945E-3</v>
      </c>
      <c r="Q6" s="38">
        <f t="shared" ref="Q6:Q23" si="8">(F6*P6)/(1+(F6-H6)*P6)</f>
        <v>1.6788454551981923E-3</v>
      </c>
      <c r="R6" s="39">
        <f t="shared" ref="R6:R24" si="9">V6/S6</f>
        <v>82.337994947613694</v>
      </c>
      <c r="S6" s="40">
        <v>100000</v>
      </c>
      <c r="T6" s="40">
        <f t="shared" ref="T6:T24" si="10">S6*Q6</f>
        <v>167.88454551981923</v>
      </c>
      <c r="U6" s="40">
        <f t="shared" ref="U6:U23" si="11">F6*S6-(F6-H6)*T6</f>
        <v>99856.179803492181</v>
      </c>
      <c r="V6" s="40">
        <f>SUM(U6:U24)</f>
        <v>8233799.4947613692</v>
      </c>
    </row>
    <row r="7" spans="1:22" x14ac:dyDescent="0.2">
      <c r="A7" s="13" t="s">
        <v>21</v>
      </c>
      <c r="B7" s="14">
        <v>74</v>
      </c>
      <c r="C7" s="14">
        <v>4</v>
      </c>
      <c r="D7" s="15">
        <f t="shared" si="0"/>
        <v>70</v>
      </c>
      <c r="E7" s="14">
        <v>167731</v>
      </c>
      <c r="F7" s="16">
        <v>4</v>
      </c>
      <c r="G7" s="17">
        <f t="shared" si="1"/>
        <v>4.1733489933286035E-4</v>
      </c>
      <c r="H7" s="18">
        <v>1.5</v>
      </c>
      <c r="I7" s="19">
        <f t="shared" si="2"/>
        <v>1.667599728419473E-3</v>
      </c>
      <c r="J7" s="19">
        <f t="shared" si="3"/>
        <v>0.99833240027158054</v>
      </c>
      <c r="K7" s="15">
        <f t="shared" ref="K7:K24" si="12">K6*J6</f>
        <v>99833.30442471859</v>
      </c>
      <c r="L7" s="15">
        <f t="shared" si="4"/>
        <v>166.48199134587929</v>
      </c>
      <c r="M7" s="15">
        <f t="shared" si="5"/>
        <v>398917.01272050967</v>
      </c>
      <c r="N7" s="15">
        <f>SUM(M7:M24)</f>
        <v>8167596.3805706277</v>
      </c>
      <c r="O7" s="20">
        <f t="shared" si="6"/>
        <v>81.812341358785503</v>
      </c>
      <c r="P7" s="21">
        <f t="shared" si="7"/>
        <v>4.4118260786616667E-4</v>
      </c>
      <c r="Q7" s="22">
        <f t="shared" si="8"/>
        <v>1.7627861549822531E-3</v>
      </c>
      <c r="R7" s="23">
        <f t="shared" si="9"/>
        <v>81.476219129771508</v>
      </c>
      <c r="S7" s="24">
        <f t="shared" ref="S7:S24" si="13">S6*(1-Q6)</f>
        <v>99832.115454480183</v>
      </c>
      <c r="T7" s="24">
        <f t="shared" si="10"/>
        <v>175.98267094574749</v>
      </c>
      <c r="U7" s="24">
        <f t="shared" si="11"/>
        <v>398888.50514055637</v>
      </c>
      <c r="V7" s="24">
        <f>SUM(U7:U24)</f>
        <v>8133943.3149578767</v>
      </c>
    </row>
    <row r="8" spans="1:22" x14ac:dyDescent="0.2">
      <c r="A8" s="31" t="s">
        <v>22</v>
      </c>
      <c r="B8" s="32">
        <v>22</v>
      </c>
      <c r="C8" s="32">
        <v>3</v>
      </c>
      <c r="D8" s="33">
        <f t="shared" si="0"/>
        <v>19</v>
      </c>
      <c r="E8" s="32">
        <v>176153</v>
      </c>
      <c r="F8" s="34">
        <v>5</v>
      </c>
      <c r="G8" s="35">
        <f t="shared" si="1"/>
        <v>1.0786078011728441E-4</v>
      </c>
      <c r="H8" s="41">
        <v>2.5</v>
      </c>
      <c r="I8" s="36">
        <f t="shared" si="2"/>
        <v>5.3915851544121616E-4</v>
      </c>
      <c r="J8" s="36">
        <f t="shared" si="3"/>
        <v>0.99946084148455883</v>
      </c>
      <c r="K8" s="33">
        <f t="shared" si="12"/>
        <v>99666.822433372712</v>
      </c>
      <c r="L8" s="33">
        <f t="shared" si="4"/>
        <v>53.736216021920534</v>
      </c>
      <c r="M8" s="33">
        <f t="shared" si="5"/>
        <v>498199.7716268088</v>
      </c>
      <c r="N8" s="33">
        <f>SUM(M8:M24)</f>
        <v>7768679.3678501174</v>
      </c>
      <c r="O8" s="42">
        <f t="shared" si="6"/>
        <v>77.946493910182411</v>
      </c>
      <c r="P8" s="37">
        <f t="shared" si="7"/>
        <v>1.2489142960948722E-4</v>
      </c>
      <c r="Q8" s="38">
        <f t="shared" si="8"/>
        <v>6.2426223553981659E-4</v>
      </c>
      <c r="R8" s="39">
        <f t="shared" si="9"/>
        <v>77.617449059746548</v>
      </c>
      <c r="S8" s="40">
        <f t="shared" si="13"/>
        <v>99656.132783534427</v>
      </c>
      <c r="T8" s="40">
        <f t="shared" si="10"/>
        <v>62.211560236702006</v>
      </c>
      <c r="U8" s="40">
        <f t="shared" si="11"/>
        <v>498125.13501708035</v>
      </c>
      <c r="V8" s="40">
        <f>SUM(U8:U24)</f>
        <v>7735054.8098173207</v>
      </c>
    </row>
    <row r="9" spans="1:22" x14ac:dyDescent="0.2">
      <c r="A9" s="13" t="s">
        <v>23</v>
      </c>
      <c r="B9" s="14">
        <v>81</v>
      </c>
      <c r="C9" s="14">
        <v>1</v>
      </c>
      <c r="D9" s="15">
        <f t="shared" si="0"/>
        <v>80</v>
      </c>
      <c r="E9" s="14">
        <v>175578</v>
      </c>
      <c r="F9" s="16">
        <v>5</v>
      </c>
      <c r="G9" s="17">
        <f t="shared" si="1"/>
        <v>4.5563795008486256E-4</v>
      </c>
      <c r="H9" s="18">
        <v>2.5</v>
      </c>
      <c r="I9" s="19">
        <f t="shared" si="2"/>
        <v>2.2755976288272709E-3</v>
      </c>
      <c r="J9" s="19">
        <f t="shared" si="3"/>
        <v>0.99772440237117277</v>
      </c>
      <c r="K9" s="15">
        <f t="shared" si="12"/>
        <v>99613.086217350792</v>
      </c>
      <c r="L9" s="15">
        <f t="shared" si="4"/>
        <v>226.67930279636997</v>
      </c>
      <c r="M9" s="15">
        <f t="shared" si="5"/>
        <v>497498.73282976303</v>
      </c>
      <c r="N9" s="15">
        <f>SUM(M9:M24)</f>
        <v>7270479.5962233096</v>
      </c>
      <c r="O9" s="20">
        <f t="shared" si="6"/>
        <v>72.987193473350331</v>
      </c>
      <c r="P9" s="21">
        <f t="shared" si="7"/>
        <v>4.6133342446092336E-4</v>
      </c>
      <c r="Q9" s="22">
        <f t="shared" si="8"/>
        <v>2.3040098304419432E-3</v>
      </c>
      <c r="R9" s="23">
        <f t="shared" si="9"/>
        <v>72.664371338231092</v>
      </c>
      <c r="S9" s="24">
        <f t="shared" si="13"/>
        <v>99593.92122329773</v>
      </c>
      <c r="T9" s="24">
        <f t="shared" si="10"/>
        <v>229.46537355073843</v>
      </c>
      <c r="U9" s="24">
        <f t="shared" si="11"/>
        <v>497395.94268261181</v>
      </c>
      <c r="V9" s="24">
        <f>SUM(U9:U24)</f>
        <v>7236929.6748002404</v>
      </c>
    </row>
    <row r="10" spans="1:22" x14ac:dyDescent="0.2">
      <c r="A10" s="31" t="s">
        <v>24</v>
      </c>
      <c r="B10" s="32">
        <v>92</v>
      </c>
      <c r="C10" s="32">
        <v>19</v>
      </c>
      <c r="D10" s="33">
        <f t="shared" si="0"/>
        <v>73</v>
      </c>
      <c r="E10" s="32">
        <v>167352</v>
      </c>
      <c r="F10" s="34">
        <v>5</v>
      </c>
      <c r="G10" s="35">
        <f t="shared" si="1"/>
        <v>4.3620631961374825E-4</v>
      </c>
      <c r="H10" s="41">
        <v>2.5</v>
      </c>
      <c r="I10" s="36">
        <f t="shared" si="2"/>
        <v>2.1786557395640895E-3</v>
      </c>
      <c r="J10" s="36">
        <f t="shared" si="3"/>
        <v>0.99782134426043589</v>
      </c>
      <c r="K10" s="33">
        <f t="shared" si="12"/>
        <v>99386.40691455442</v>
      </c>
      <c r="L10" s="33">
        <f t="shared" si="4"/>
        <v>216.5287658590461</v>
      </c>
      <c r="M10" s="33">
        <f t="shared" si="5"/>
        <v>496390.71265812451</v>
      </c>
      <c r="N10" s="33">
        <f>SUM(M10:M24)</f>
        <v>6772980.8633935452</v>
      </c>
      <c r="O10" s="42">
        <f t="shared" si="6"/>
        <v>68.147959803159878</v>
      </c>
      <c r="P10" s="37">
        <f t="shared" si="7"/>
        <v>5.4973947129403889E-4</v>
      </c>
      <c r="Q10" s="38">
        <f t="shared" si="8"/>
        <v>2.7449248725996823E-3</v>
      </c>
      <c r="R10" s="39">
        <f t="shared" si="9"/>
        <v>67.82640406453541</v>
      </c>
      <c r="S10" s="40">
        <f t="shared" si="13"/>
        <v>99364.455849746984</v>
      </c>
      <c r="T10" s="40">
        <f t="shared" si="10"/>
        <v>272.74796631430348</v>
      </c>
      <c r="U10" s="40">
        <f t="shared" si="11"/>
        <v>496140.4093329492</v>
      </c>
      <c r="V10" s="40">
        <f>SUM(U10:U24)</f>
        <v>6739533.7321176277</v>
      </c>
    </row>
    <row r="11" spans="1:22" x14ac:dyDescent="0.2">
      <c r="A11" s="13" t="s">
        <v>25</v>
      </c>
      <c r="B11" s="14">
        <v>81</v>
      </c>
      <c r="C11" s="14">
        <v>24</v>
      </c>
      <c r="D11" s="15">
        <f t="shared" si="0"/>
        <v>57</v>
      </c>
      <c r="E11" s="14">
        <v>149421</v>
      </c>
      <c r="F11" s="16">
        <v>5</v>
      </c>
      <c r="G11" s="17">
        <f t="shared" si="1"/>
        <v>3.8147248378741946E-4</v>
      </c>
      <c r="H11" s="18">
        <v>2.5</v>
      </c>
      <c r="I11" s="19">
        <f t="shared" si="2"/>
        <v>1.9055451363467692E-3</v>
      </c>
      <c r="J11" s="19">
        <f t="shared" si="3"/>
        <v>0.99809445486365322</v>
      </c>
      <c r="K11" s="15">
        <f t="shared" si="12"/>
        <v>99169.878148695367</v>
      </c>
      <c r="L11" s="15">
        <f t="shared" si="4"/>
        <v>188.9726789783482</v>
      </c>
      <c r="M11" s="15">
        <f t="shared" si="5"/>
        <v>495376.95904603094</v>
      </c>
      <c r="N11" s="15">
        <f>SUM(M11:M24)</f>
        <v>6276590.1507354211</v>
      </c>
      <c r="O11" s="20">
        <f t="shared" si="6"/>
        <v>63.29129638865038</v>
      </c>
      <c r="P11" s="21">
        <f t="shared" si="7"/>
        <v>5.4209247696106969E-4</v>
      </c>
      <c r="Q11" s="22">
        <f t="shared" si="8"/>
        <v>2.7067940530732131E-3</v>
      </c>
      <c r="R11" s="23">
        <f t="shared" si="9"/>
        <v>63.006213699829893</v>
      </c>
      <c r="S11" s="24">
        <f t="shared" si="13"/>
        <v>99091.707883432682</v>
      </c>
      <c r="T11" s="24">
        <f t="shared" si="10"/>
        <v>268.22084560774363</v>
      </c>
      <c r="U11" s="24">
        <f t="shared" si="11"/>
        <v>494787.98730314407</v>
      </c>
      <c r="V11" s="24">
        <f>SUM(U11:U24)</f>
        <v>6243393.3227846781</v>
      </c>
    </row>
    <row r="12" spans="1:22" x14ac:dyDescent="0.2">
      <c r="A12" s="31" t="s">
        <v>26</v>
      </c>
      <c r="B12" s="32">
        <v>139</v>
      </c>
      <c r="C12" s="32">
        <v>17</v>
      </c>
      <c r="D12" s="33">
        <f t="shared" si="0"/>
        <v>122</v>
      </c>
      <c r="E12" s="32">
        <v>136921</v>
      </c>
      <c r="F12" s="34">
        <v>5</v>
      </c>
      <c r="G12" s="35">
        <f t="shared" si="1"/>
        <v>8.9102475149903956E-4</v>
      </c>
      <c r="H12" s="41">
        <v>2.5</v>
      </c>
      <c r="I12" s="36">
        <f t="shared" si="2"/>
        <v>4.4452217509801349E-3</v>
      </c>
      <c r="J12" s="36">
        <f t="shared" si="3"/>
        <v>0.99555477824901983</v>
      </c>
      <c r="K12" s="33">
        <f t="shared" si="12"/>
        <v>98980.905469717021</v>
      </c>
      <c r="L12" s="33">
        <f t="shared" si="4"/>
        <v>439.99207392569468</v>
      </c>
      <c r="M12" s="33">
        <f t="shared" si="5"/>
        <v>493804.54716377083</v>
      </c>
      <c r="N12" s="33">
        <f>SUM(M12:M24)</f>
        <v>5781213.1916893907</v>
      </c>
      <c r="O12" s="42">
        <f t="shared" si="6"/>
        <v>58.407358108662073</v>
      </c>
      <c r="P12" s="37">
        <f t="shared" si="7"/>
        <v>1.015183938183332E-3</v>
      </c>
      <c r="Q12" s="38">
        <f t="shared" si="8"/>
        <v>5.0630698230111071E-3</v>
      </c>
      <c r="R12" s="39">
        <f t="shared" si="9"/>
        <v>58.170436075396125</v>
      </c>
      <c r="S12" s="40">
        <f t="shared" si="13"/>
        <v>98823.487037824947</v>
      </c>
      <c r="T12" s="40">
        <f t="shared" si="10"/>
        <v>500.35021502594077</v>
      </c>
      <c r="U12" s="40">
        <f t="shared" si="11"/>
        <v>492866.55965155986</v>
      </c>
      <c r="V12" s="40">
        <f>SUM(U12:U24)</f>
        <v>5748605.3354815338</v>
      </c>
    </row>
    <row r="13" spans="1:22" x14ac:dyDescent="0.2">
      <c r="A13" s="13" t="s">
        <v>27</v>
      </c>
      <c r="B13" s="14">
        <v>168</v>
      </c>
      <c r="C13" s="14">
        <v>25</v>
      </c>
      <c r="D13" s="15">
        <f t="shared" si="0"/>
        <v>143</v>
      </c>
      <c r="E13" s="14">
        <v>127656</v>
      </c>
      <c r="F13" s="16">
        <v>5</v>
      </c>
      <c r="G13" s="17">
        <f t="shared" si="1"/>
        <v>1.1201980322115687E-3</v>
      </c>
      <c r="H13" s="18">
        <v>2.5</v>
      </c>
      <c r="I13" s="19">
        <f t="shared" si="2"/>
        <v>5.5853484202837986E-3</v>
      </c>
      <c r="J13" s="19">
        <f t="shared" si="3"/>
        <v>0.9944146515797162</v>
      </c>
      <c r="K13" s="15">
        <f t="shared" si="12"/>
        <v>98540.913395791329</v>
      </c>
      <c r="L13" s="15">
        <f t="shared" si="4"/>
        <v>550.38533496850573</v>
      </c>
      <c r="M13" s="15">
        <f t="shared" si="5"/>
        <v>491328.60364153539</v>
      </c>
      <c r="N13" s="15">
        <f>SUM(M13:M24)</f>
        <v>5287408.6445256202</v>
      </c>
      <c r="O13" s="20">
        <f t="shared" si="6"/>
        <v>53.656988374855523</v>
      </c>
      <c r="P13" s="21">
        <f t="shared" si="7"/>
        <v>1.3160368490317729E-3</v>
      </c>
      <c r="Q13" s="22">
        <f t="shared" si="8"/>
        <v>6.5586058277897503E-3</v>
      </c>
      <c r="R13" s="23">
        <f t="shared" si="9"/>
        <v>53.453733736160487</v>
      </c>
      <c r="S13" s="24">
        <f t="shared" si="13"/>
        <v>98323.136822799002</v>
      </c>
      <c r="T13" s="24">
        <f t="shared" si="10"/>
        <v>644.86269817257858</v>
      </c>
      <c r="U13" s="24">
        <f t="shared" si="11"/>
        <v>490003.52736856358</v>
      </c>
      <c r="V13" s="24">
        <f>SUM(U13:U24)</f>
        <v>5255738.7758299746</v>
      </c>
    </row>
    <row r="14" spans="1:22" x14ac:dyDescent="0.2">
      <c r="A14" s="31" t="s">
        <v>28</v>
      </c>
      <c r="B14" s="32">
        <v>180</v>
      </c>
      <c r="C14" s="32">
        <v>22</v>
      </c>
      <c r="D14" s="33">
        <f t="shared" si="0"/>
        <v>158</v>
      </c>
      <c r="E14" s="32">
        <v>118816</v>
      </c>
      <c r="F14" s="34">
        <v>5</v>
      </c>
      <c r="G14" s="35">
        <f t="shared" si="1"/>
        <v>1.3297872340425532E-3</v>
      </c>
      <c r="H14" s="41">
        <v>2.5</v>
      </c>
      <c r="I14" s="36">
        <f t="shared" si="2"/>
        <v>6.6269052352551363E-3</v>
      </c>
      <c r="J14" s="36">
        <f t="shared" si="3"/>
        <v>0.99337309476474489</v>
      </c>
      <c r="K14" s="33">
        <f t="shared" si="12"/>
        <v>97990.52806082282</v>
      </c>
      <c r="L14" s="33">
        <f t="shared" si="4"/>
        <v>649.37394341168203</v>
      </c>
      <c r="M14" s="33">
        <f t="shared" si="5"/>
        <v>488329.2054455849</v>
      </c>
      <c r="N14" s="33">
        <f>SUM(M14:M24)</f>
        <v>4796080.040884085</v>
      </c>
      <c r="O14" s="42">
        <f t="shared" si="6"/>
        <v>48.944322842174635</v>
      </c>
      <c r="P14" s="37">
        <f t="shared" si="7"/>
        <v>1.5149474818206303E-3</v>
      </c>
      <c r="Q14" s="38">
        <f t="shared" si="8"/>
        <v>7.5461573289956905E-3</v>
      </c>
      <c r="R14" s="39">
        <f t="shared" si="9"/>
        <v>48.790125451857108</v>
      </c>
      <c r="S14" s="40">
        <f t="shared" si="13"/>
        <v>97678.27412462642</v>
      </c>
      <c r="T14" s="40">
        <f t="shared" si="10"/>
        <v>737.09562416919971</v>
      </c>
      <c r="U14" s="40">
        <f t="shared" si="11"/>
        <v>486548.63156270911</v>
      </c>
      <c r="V14" s="40">
        <f>SUM(U14:U24)</f>
        <v>4765735.2484614113</v>
      </c>
    </row>
    <row r="15" spans="1:22" x14ac:dyDescent="0.2">
      <c r="A15" s="13" t="s">
        <v>29</v>
      </c>
      <c r="B15" s="14">
        <v>277</v>
      </c>
      <c r="C15" s="14">
        <v>17</v>
      </c>
      <c r="D15" s="15">
        <f t="shared" si="0"/>
        <v>260</v>
      </c>
      <c r="E15" s="14">
        <v>109670</v>
      </c>
      <c r="F15" s="16">
        <v>5</v>
      </c>
      <c r="G15" s="17">
        <f t="shared" si="1"/>
        <v>2.370748609464758E-3</v>
      </c>
      <c r="H15" s="18">
        <v>2.5</v>
      </c>
      <c r="I15" s="19">
        <f t="shared" si="2"/>
        <v>1.1783901377810007E-2</v>
      </c>
      <c r="J15" s="19">
        <f t="shared" si="3"/>
        <v>0.98821609862218995</v>
      </c>
      <c r="K15" s="15">
        <f t="shared" si="12"/>
        <v>97341.154117411148</v>
      </c>
      <c r="L15" s="15">
        <f t="shared" si="4"/>
        <v>1147.0585601217774</v>
      </c>
      <c r="M15" s="15">
        <f t="shared" si="5"/>
        <v>483838.12418675126</v>
      </c>
      <c r="N15" s="15">
        <f>SUM(M15:M24)</f>
        <v>4307750.8354385002</v>
      </c>
      <c r="O15" s="20">
        <f t="shared" si="6"/>
        <v>44.254158218039706</v>
      </c>
      <c r="P15" s="21">
        <f t="shared" si="7"/>
        <v>2.525759095468223E-3</v>
      </c>
      <c r="Q15" s="22">
        <f t="shared" si="8"/>
        <v>1.2549552610714689E-2</v>
      </c>
      <c r="R15" s="23">
        <f t="shared" si="9"/>
        <v>44.14209403157318</v>
      </c>
      <c r="S15" s="24">
        <f t="shared" si="13"/>
        <v>96941.178500457216</v>
      </c>
      <c r="T15" s="24">
        <f t="shared" si="10"/>
        <v>1216.5684197361716</v>
      </c>
      <c r="U15" s="24">
        <f t="shared" si="11"/>
        <v>481664.47145294561</v>
      </c>
      <c r="V15" s="24">
        <f>SUM(U15:U24)</f>
        <v>4279186.6168987025</v>
      </c>
    </row>
    <row r="16" spans="1:22" x14ac:dyDescent="0.2">
      <c r="A16" s="31" t="s">
        <v>30</v>
      </c>
      <c r="B16" s="32">
        <v>24</v>
      </c>
      <c r="C16" s="32">
        <v>11</v>
      </c>
      <c r="D16" s="33">
        <f t="shared" si="0"/>
        <v>13</v>
      </c>
      <c r="E16" s="32">
        <v>99365</v>
      </c>
      <c r="F16" s="34">
        <v>5</v>
      </c>
      <c r="G16" s="35">
        <f t="shared" si="1"/>
        <v>1.3083077542394204E-4</v>
      </c>
      <c r="H16" s="41">
        <v>2.5</v>
      </c>
      <c r="I16" s="36">
        <f t="shared" si="2"/>
        <v>6.5393998843029245E-4</v>
      </c>
      <c r="J16" s="36">
        <f t="shared" si="3"/>
        <v>0.99934606001156967</v>
      </c>
      <c r="K16" s="33">
        <f t="shared" si="12"/>
        <v>96194.095557289373</v>
      </c>
      <c r="L16" s="33">
        <f t="shared" si="4"/>
        <v>62.90516573579626</v>
      </c>
      <c r="M16" s="33">
        <f t="shared" si="5"/>
        <v>480813.21487210738</v>
      </c>
      <c r="N16" s="33">
        <f>SUM(M16:M24)</f>
        <v>3823912.7112517483</v>
      </c>
      <c r="O16" s="42">
        <f t="shared" si="6"/>
        <v>39.752052234582095</v>
      </c>
      <c r="P16" s="37">
        <f t="shared" si="7"/>
        <v>2.4153373924420068E-4</v>
      </c>
      <c r="Q16" s="38">
        <f t="shared" si="8"/>
        <v>1.206939904450591E-3</v>
      </c>
      <c r="R16" s="39">
        <f t="shared" si="9"/>
        <v>39.671325297052086</v>
      </c>
      <c r="S16" s="40">
        <f t="shared" si="13"/>
        <v>95724.610080721046</v>
      </c>
      <c r="T16" s="40">
        <f t="shared" si="10"/>
        <v>115.53385174439553</v>
      </c>
      <c r="U16" s="40">
        <f t="shared" si="11"/>
        <v>478334.21577424422</v>
      </c>
      <c r="V16" s="40">
        <f>SUM(U16:U24)</f>
        <v>3797522.1454457561</v>
      </c>
    </row>
    <row r="17" spans="1:22" x14ac:dyDescent="0.2">
      <c r="A17" s="13" t="s">
        <v>31</v>
      </c>
      <c r="B17" s="14">
        <v>351</v>
      </c>
      <c r="C17" s="14">
        <v>8</v>
      </c>
      <c r="D17" s="15">
        <f t="shared" si="0"/>
        <v>343</v>
      </c>
      <c r="E17" s="14">
        <v>91103</v>
      </c>
      <c r="F17" s="16">
        <v>5</v>
      </c>
      <c r="G17" s="17">
        <f t="shared" si="1"/>
        <v>3.7649693204395026E-3</v>
      </c>
      <c r="H17" s="18">
        <v>2.5</v>
      </c>
      <c r="I17" s="19">
        <f t="shared" si="2"/>
        <v>1.8649311389129029E-2</v>
      </c>
      <c r="J17" s="19">
        <f t="shared" si="3"/>
        <v>0.98135068861087094</v>
      </c>
      <c r="K17" s="15">
        <f t="shared" si="12"/>
        <v>96131.190391553566</v>
      </c>
      <c r="L17" s="15">
        <f t="shared" si="4"/>
        <v>1792.7805038197309</v>
      </c>
      <c r="M17" s="15">
        <f t="shared" si="5"/>
        <v>476174.00069821853</v>
      </c>
      <c r="N17" s="15">
        <f>SUM(M17:M24)</f>
        <v>3343099.4963796414</v>
      </c>
      <c r="O17" s="20">
        <f t="shared" si="6"/>
        <v>34.776428781988514</v>
      </c>
      <c r="P17" s="21">
        <f t="shared" si="7"/>
        <v>3.8527820159599572E-3</v>
      </c>
      <c r="Q17" s="22">
        <f t="shared" si="8"/>
        <v>1.9080131114747146E-2</v>
      </c>
      <c r="R17" s="23">
        <f t="shared" si="9"/>
        <v>34.716243065902063</v>
      </c>
      <c r="S17" s="24">
        <f t="shared" si="13"/>
        <v>95609.076228976643</v>
      </c>
      <c r="T17" s="24">
        <f t="shared" si="10"/>
        <v>1824.233710208729</v>
      </c>
      <c r="U17" s="24">
        <f t="shared" si="11"/>
        <v>473484.79686936142</v>
      </c>
      <c r="V17" s="24">
        <f>SUM(U17:U24)</f>
        <v>3319187.9296715125</v>
      </c>
    </row>
    <row r="18" spans="1:22" x14ac:dyDescent="0.2">
      <c r="A18" s="31" t="s">
        <v>32</v>
      </c>
      <c r="B18" s="32">
        <v>441</v>
      </c>
      <c r="C18" s="32">
        <v>8</v>
      </c>
      <c r="D18" s="33">
        <f t="shared" si="0"/>
        <v>433</v>
      </c>
      <c r="E18" s="32">
        <v>76882</v>
      </c>
      <c r="F18" s="34">
        <v>5</v>
      </c>
      <c r="G18" s="35">
        <f t="shared" si="1"/>
        <v>5.632007492000728E-3</v>
      </c>
      <c r="H18" s="41">
        <v>2.5</v>
      </c>
      <c r="I18" s="36">
        <f t="shared" si="2"/>
        <v>2.7769048733718545E-2</v>
      </c>
      <c r="J18" s="36">
        <f t="shared" si="3"/>
        <v>0.97223095126628145</v>
      </c>
      <c r="K18" s="33">
        <f t="shared" si="12"/>
        <v>94338.409887733826</v>
      </c>
      <c r="L18" s="33">
        <f t="shared" si="4"/>
        <v>2619.6879016339963</v>
      </c>
      <c r="M18" s="33">
        <f t="shared" si="5"/>
        <v>465142.82968458411</v>
      </c>
      <c r="N18" s="33">
        <f>SUM(M18:M24)</f>
        <v>2866925.4956814223</v>
      </c>
      <c r="O18" s="42">
        <f t="shared" si="6"/>
        <v>30.389800920888629</v>
      </c>
      <c r="P18" s="37">
        <f t="shared" si="7"/>
        <v>5.7360630576727975E-3</v>
      </c>
      <c r="Q18" s="38">
        <f t="shared" si="8"/>
        <v>2.8274849489321598E-2</v>
      </c>
      <c r="R18" s="39">
        <f t="shared" si="9"/>
        <v>30.342889707712391</v>
      </c>
      <c r="S18" s="40">
        <f t="shared" si="13"/>
        <v>93784.842518767909</v>
      </c>
      <c r="T18" s="40">
        <f t="shared" si="10"/>
        <v>2651.7523065978912</v>
      </c>
      <c r="U18" s="40">
        <f t="shared" si="11"/>
        <v>462294.83182734484</v>
      </c>
      <c r="V18" s="40">
        <f>SUM(U18:U24)</f>
        <v>2845703.1328021502</v>
      </c>
    </row>
    <row r="19" spans="1:22" x14ac:dyDescent="0.2">
      <c r="A19" s="13" t="s">
        <v>33</v>
      </c>
      <c r="B19" s="14">
        <v>608</v>
      </c>
      <c r="C19" s="14">
        <v>7</v>
      </c>
      <c r="D19" s="15">
        <f t="shared" si="0"/>
        <v>601</v>
      </c>
      <c r="E19" s="14">
        <v>64763</v>
      </c>
      <c r="F19" s="16">
        <v>5</v>
      </c>
      <c r="G19" s="17">
        <f t="shared" si="1"/>
        <v>9.2799901178141839E-3</v>
      </c>
      <c r="H19" s="18">
        <v>2.5</v>
      </c>
      <c r="I19" s="19">
        <f t="shared" si="2"/>
        <v>4.5347880873154202E-2</v>
      </c>
      <c r="J19" s="19">
        <f t="shared" si="3"/>
        <v>0.95465211912684578</v>
      </c>
      <c r="K19" s="15">
        <f t="shared" si="12"/>
        <v>91718.72198609983</v>
      </c>
      <c r="L19" s="15">
        <f t="shared" si="4"/>
        <v>4159.2496784636041</v>
      </c>
      <c r="M19" s="15">
        <f t="shared" si="5"/>
        <v>448195.48573434015</v>
      </c>
      <c r="N19" s="15">
        <f>SUM(M19:M24)</f>
        <v>2401782.6659968388</v>
      </c>
      <c r="O19" s="20">
        <f t="shared" si="6"/>
        <v>26.186394816543935</v>
      </c>
      <c r="P19" s="21">
        <f t="shared" si="7"/>
        <v>9.3880765251764132E-3</v>
      </c>
      <c r="Q19" s="22">
        <f t="shared" si="8"/>
        <v>4.5863947015071745E-2</v>
      </c>
      <c r="R19" s="23">
        <f t="shared" si="9"/>
        <v>26.153050395042154</v>
      </c>
      <c r="S19" s="24">
        <f t="shared" si="13"/>
        <v>91133.09021217002</v>
      </c>
      <c r="T19" s="24">
        <f t="shared" si="10"/>
        <v>4179.7232208107189</v>
      </c>
      <c r="U19" s="24">
        <f t="shared" si="11"/>
        <v>445216.14300882333</v>
      </c>
      <c r="V19" s="24">
        <f>SUM(U19:U24)</f>
        <v>2383408.3009748054</v>
      </c>
    </row>
    <row r="20" spans="1:22" x14ac:dyDescent="0.2">
      <c r="A20" s="31" t="s">
        <v>34</v>
      </c>
      <c r="B20" s="32">
        <v>701</v>
      </c>
      <c r="C20" s="32">
        <v>5</v>
      </c>
      <c r="D20" s="33">
        <f t="shared" si="0"/>
        <v>696</v>
      </c>
      <c r="E20" s="32">
        <v>53348</v>
      </c>
      <c r="F20" s="34">
        <v>5</v>
      </c>
      <c r="G20" s="35">
        <f t="shared" si="1"/>
        <v>1.3046412236634925E-2</v>
      </c>
      <c r="H20" s="41">
        <v>2.5</v>
      </c>
      <c r="I20" s="36">
        <f t="shared" si="2"/>
        <v>6.3171652628521632E-2</v>
      </c>
      <c r="J20" s="36">
        <f t="shared" si="3"/>
        <v>0.93682834737147835</v>
      </c>
      <c r="K20" s="33">
        <f t="shared" si="12"/>
        <v>87559.472307636228</v>
      </c>
      <c r="L20" s="33">
        <f t="shared" si="4"/>
        <v>5531.276568954655</v>
      </c>
      <c r="M20" s="33">
        <f t="shared" si="5"/>
        <v>423969.17011579452</v>
      </c>
      <c r="N20" s="33">
        <f>SUM(M20:M24)</f>
        <v>1953587.1802624986</v>
      </c>
      <c r="O20" s="42">
        <f t="shared" si="6"/>
        <v>22.311545841649878</v>
      </c>
      <c r="P20" s="37">
        <f t="shared" si="7"/>
        <v>1.3140136462472821E-2</v>
      </c>
      <c r="Q20" s="38">
        <f t="shared" si="8"/>
        <v>6.3611038012359233E-2</v>
      </c>
      <c r="R20" s="39">
        <f t="shared" si="9"/>
        <v>22.290018489549507</v>
      </c>
      <c r="S20" s="40">
        <f t="shared" si="13"/>
        <v>86953.366991359289</v>
      </c>
      <c r="T20" s="40">
        <f t="shared" si="10"/>
        <v>5531.1939329899787</v>
      </c>
      <c r="U20" s="40">
        <f t="shared" si="11"/>
        <v>420938.85012432147</v>
      </c>
      <c r="V20" s="40">
        <f>SUM(U20:U24)</f>
        <v>1938192.1579659823</v>
      </c>
    </row>
    <row r="21" spans="1:22" x14ac:dyDescent="0.2">
      <c r="A21" s="13" t="s">
        <v>35</v>
      </c>
      <c r="B21" s="14">
        <v>721</v>
      </c>
      <c r="C21" s="14">
        <v>3</v>
      </c>
      <c r="D21" s="15">
        <f t="shared" si="0"/>
        <v>718</v>
      </c>
      <c r="E21" s="14">
        <v>40256</v>
      </c>
      <c r="F21" s="16">
        <v>5</v>
      </c>
      <c r="G21" s="17">
        <f t="shared" si="1"/>
        <v>1.7835850556438791E-2</v>
      </c>
      <c r="H21" s="18">
        <v>2.5</v>
      </c>
      <c r="I21" s="19">
        <f t="shared" si="2"/>
        <v>8.5372523840098927E-2</v>
      </c>
      <c r="J21" s="19">
        <f t="shared" si="3"/>
        <v>0.91462747615990103</v>
      </c>
      <c r="K21" s="15">
        <f t="shared" si="12"/>
        <v>82028.195738681577</v>
      </c>
      <c r="L21" s="15">
        <f t="shared" si="4"/>
        <v>7002.9540962608944</v>
      </c>
      <c r="M21" s="15">
        <f t="shared" si="5"/>
        <v>392633.59345275565</v>
      </c>
      <c r="N21" s="15">
        <f>SUM(M21:M24)</f>
        <v>1529618.010146704</v>
      </c>
      <c r="O21" s="20">
        <f t="shared" si="6"/>
        <v>18.647466232460243</v>
      </c>
      <c r="P21" s="21">
        <f t="shared" si="7"/>
        <v>1.7910373608903022E-2</v>
      </c>
      <c r="Q21" s="22">
        <f t="shared" si="8"/>
        <v>8.571394605133327E-2</v>
      </c>
      <c r="R21" s="23">
        <f t="shared" si="9"/>
        <v>18.634399584913851</v>
      </c>
      <c r="S21" s="24">
        <f t="shared" si="13"/>
        <v>81422.173058369313</v>
      </c>
      <c r="T21" s="24">
        <f t="shared" si="10"/>
        <v>6979.015748907389</v>
      </c>
      <c r="U21" s="24">
        <f t="shared" si="11"/>
        <v>389663.32591957808</v>
      </c>
      <c r="V21" s="24">
        <f>SUM(U21:U24)</f>
        <v>1517253.3078416609</v>
      </c>
    </row>
    <row r="22" spans="1:22" x14ac:dyDescent="0.2">
      <c r="A22" s="31" t="s">
        <v>36</v>
      </c>
      <c r="B22" s="32">
        <v>921</v>
      </c>
      <c r="C22" s="32">
        <v>1</v>
      </c>
      <c r="D22" s="33">
        <f t="shared" si="0"/>
        <v>920</v>
      </c>
      <c r="E22" s="32">
        <v>29663</v>
      </c>
      <c r="F22" s="34">
        <v>5</v>
      </c>
      <c r="G22" s="35">
        <f t="shared" si="1"/>
        <v>3.10150692782254E-2</v>
      </c>
      <c r="H22" s="41">
        <v>2.5</v>
      </c>
      <c r="I22" s="36">
        <f t="shared" si="2"/>
        <v>0.14391640334136346</v>
      </c>
      <c r="J22" s="36">
        <f t="shared" si="3"/>
        <v>0.85608359665863654</v>
      </c>
      <c r="K22" s="33">
        <f t="shared" si="12"/>
        <v>75025.241642420675</v>
      </c>
      <c r="L22" s="33">
        <f t="shared" si="4"/>
        <v>10797.362936993872</v>
      </c>
      <c r="M22" s="33">
        <f t="shared" si="5"/>
        <v>348132.80086961866</v>
      </c>
      <c r="N22" s="33">
        <f>SUM(M22:M24)</f>
        <v>1136984.4166939482</v>
      </c>
      <c r="O22" s="42">
        <f t="shared" si="6"/>
        <v>15.154691831756473</v>
      </c>
      <c r="P22" s="37">
        <f t="shared" si="7"/>
        <v>3.1048781310049556E-2</v>
      </c>
      <c r="Q22" s="38">
        <f t="shared" si="8"/>
        <v>0.14406156637624939</v>
      </c>
      <c r="R22" s="39">
        <f t="shared" si="9"/>
        <v>15.146992990029496</v>
      </c>
      <c r="S22" s="40">
        <f t="shared" si="13"/>
        <v>74443.157309461923</v>
      </c>
      <c r="T22" s="40">
        <f t="shared" si="10"/>
        <v>10724.397847994624</v>
      </c>
      <c r="U22" s="40">
        <f t="shared" si="11"/>
        <v>345404.79192732304</v>
      </c>
      <c r="V22" s="40">
        <f>SUM(U22:U24)</f>
        <v>1127589.9819220828</v>
      </c>
    </row>
    <row r="23" spans="1:22" x14ac:dyDescent="0.2">
      <c r="A23" s="13" t="s">
        <v>37</v>
      </c>
      <c r="B23" s="14">
        <v>1112</v>
      </c>
      <c r="C23" s="14">
        <v>1</v>
      </c>
      <c r="D23" s="15">
        <f t="shared" si="0"/>
        <v>1111</v>
      </c>
      <c r="E23" s="14">
        <v>20353</v>
      </c>
      <c r="F23" s="16">
        <v>5</v>
      </c>
      <c r="G23" s="17">
        <f t="shared" si="1"/>
        <v>5.4586547437724169E-2</v>
      </c>
      <c r="H23" s="18">
        <v>2.5</v>
      </c>
      <c r="I23" s="19">
        <f t="shared" si="2"/>
        <v>0.24015909729577828</v>
      </c>
      <c r="J23" s="19">
        <f t="shared" si="3"/>
        <v>0.75984090270422167</v>
      </c>
      <c r="K23" s="15">
        <f t="shared" si="12"/>
        <v>64227.878705426803</v>
      </c>
      <c r="L23" s="15">
        <f t="shared" si="4"/>
        <v>15424.909371118041</v>
      </c>
      <c r="M23" s="15">
        <f t="shared" si="5"/>
        <v>282577.12009933894</v>
      </c>
      <c r="N23" s="15">
        <f>SUM(M23:M24)</f>
        <v>788851.61582432967</v>
      </c>
      <c r="O23" s="20">
        <f t="shared" si="6"/>
        <v>12.282074882813735</v>
      </c>
      <c r="P23" s="21">
        <f t="shared" si="7"/>
        <v>5.463568024369872E-2</v>
      </c>
      <c r="Q23" s="22">
        <f t="shared" si="8"/>
        <v>0.24034928457182378</v>
      </c>
      <c r="R23" s="23">
        <f t="shared" si="9"/>
        <v>12.275587230598415</v>
      </c>
      <c r="S23" s="24">
        <f t="shared" si="13"/>
        <v>63718.759461467293</v>
      </c>
      <c r="T23" s="24">
        <f t="shared" si="10"/>
        <v>15314.758250367791</v>
      </c>
      <c r="U23" s="24">
        <f t="shared" si="11"/>
        <v>280306.90168141702</v>
      </c>
      <c r="V23" s="24">
        <f>SUM(U23:U24)</f>
        <v>782185.18999475986</v>
      </c>
    </row>
    <row r="24" spans="1:22" x14ac:dyDescent="0.2">
      <c r="A24" s="31" t="s">
        <v>38</v>
      </c>
      <c r="B24" s="32">
        <v>1951</v>
      </c>
      <c r="C24" s="32">
        <v>1</v>
      </c>
      <c r="D24" s="33">
        <f t="shared" si="0"/>
        <v>1950</v>
      </c>
      <c r="E24" s="32">
        <v>20229</v>
      </c>
      <c r="F24" s="34" t="s">
        <v>39</v>
      </c>
      <c r="G24" s="35">
        <f t="shared" si="1"/>
        <v>9.6396262791042561E-2</v>
      </c>
      <c r="H24" s="36">
        <f>1/G24</f>
        <v>10.373846153846154</v>
      </c>
      <c r="I24" s="41">
        <v>1</v>
      </c>
      <c r="J24" s="36">
        <f t="shared" si="3"/>
        <v>0</v>
      </c>
      <c r="K24" s="33">
        <f t="shared" si="12"/>
        <v>48802.969334308757</v>
      </c>
      <c r="L24" s="33">
        <f t="shared" si="4"/>
        <v>48802.969334308757</v>
      </c>
      <c r="M24" s="33">
        <f>K24/G24</f>
        <v>506274.49572499067</v>
      </c>
      <c r="N24" s="33">
        <f>SUM(M24:M24)</f>
        <v>506274.49572499067</v>
      </c>
      <c r="O24" s="42">
        <f t="shared" si="6"/>
        <v>10.373846153846154</v>
      </c>
      <c r="P24" s="37">
        <f t="shared" si="7"/>
        <v>9.6445696771961048E-2</v>
      </c>
      <c r="Q24" s="38">
        <v>1</v>
      </c>
      <c r="R24" s="39">
        <f t="shared" si="9"/>
        <v>10.368528959507945</v>
      </c>
      <c r="S24" s="40">
        <f t="shared" si="13"/>
        <v>48404.001211099501</v>
      </c>
      <c r="T24" s="40">
        <f t="shared" si="10"/>
        <v>48404.001211099501</v>
      </c>
      <c r="U24" s="40">
        <f>S24/P24</f>
        <v>501878.28831334278</v>
      </c>
      <c r="V24" s="40">
        <f>SUM(U24:U24)</f>
        <v>501878.28831334278</v>
      </c>
    </row>
    <row r="26" spans="1:22" x14ac:dyDescent="0.2">
      <c r="A26" s="53" t="s">
        <v>40</v>
      </c>
      <c r="B26" s="47"/>
      <c r="C26" s="47"/>
      <c r="D26" s="47"/>
      <c r="E26" s="47"/>
      <c r="F26" s="47"/>
      <c r="G26" s="27">
        <f>O6</f>
        <v>82.674535789189335</v>
      </c>
      <c r="H26" s="46" t="s">
        <v>41</v>
      </c>
      <c r="I26" s="47"/>
      <c r="J26" s="47"/>
      <c r="K26" s="47"/>
      <c r="L26" s="47"/>
      <c r="M26" s="47"/>
      <c r="N26" s="47"/>
      <c r="O26" s="47"/>
      <c r="P26" s="47"/>
      <c r="Q26" s="47"/>
      <c r="R26" s="47"/>
    </row>
    <row r="27" spans="1:22" x14ac:dyDescent="0.2">
      <c r="A27" s="51" t="s">
        <v>42</v>
      </c>
      <c r="B27" s="47"/>
      <c r="C27" s="47"/>
      <c r="D27" s="47"/>
      <c r="E27" s="47"/>
      <c r="F27" s="47"/>
      <c r="G27" s="28">
        <v>81.400000000000006</v>
      </c>
      <c r="H27" s="46" t="s">
        <v>43</v>
      </c>
      <c r="I27" s="47"/>
      <c r="J27" s="47"/>
      <c r="K27" s="47"/>
      <c r="L27" s="47"/>
      <c r="M27" s="47"/>
      <c r="N27" s="47"/>
      <c r="O27" s="47"/>
      <c r="P27" s="47"/>
      <c r="Q27" s="47"/>
      <c r="R27" s="47"/>
    </row>
    <row r="28" spans="1:22" x14ac:dyDescent="0.2">
      <c r="A28" s="49" t="s">
        <v>44</v>
      </c>
      <c r="B28" s="47"/>
      <c r="C28" s="47"/>
      <c r="D28" s="47"/>
      <c r="E28" s="47"/>
      <c r="F28" s="47"/>
      <c r="G28" s="29">
        <f>G26-G27</f>
        <v>1.2745357891893292</v>
      </c>
      <c r="H28" s="54" t="s">
        <v>45</v>
      </c>
      <c r="I28" s="47"/>
      <c r="J28" s="47"/>
      <c r="K28" s="47"/>
      <c r="L28" s="47"/>
      <c r="M28" s="47"/>
      <c r="N28" s="47"/>
      <c r="O28" s="47"/>
      <c r="P28" s="47"/>
      <c r="Q28" s="47"/>
      <c r="R28" s="47"/>
    </row>
    <row r="30" spans="1:22" x14ac:dyDescent="0.2">
      <c r="A30" s="48" t="s">
        <v>46</v>
      </c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</row>
    <row r="31" spans="1:22" x14ac:dyDescent="0.2">
      <c r="A31" s="50" t="s">
        <v>47</v>
      </c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</row>
    <row r="32" spans="1:22" x14ac:dyDescent="0.2">
      <c r="A32" s="50" t="s">
        <v>48</v>
      </c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</row>
    <row r="33" spans="1:18" x14ac:dyDescent="0.2">
      <c r="A33" s="50" t="s">
        <v>49</v>
      </c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</row>
    <row r="34" spans="1:18" x14ac:dyDescent="0.2">
      <c r="A34" s="50" t="s">
        <v>50</v>
      </c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</row>
    <row r="35" spans="1:18" x14ac:dyDescent="0.2">
      <c r="A35" s="50" t="s">
        <v>51</v>
      </c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</row>
    <row r="36" spans="1:18" x14ac:dyDescent="0.2">
      <c r="A36" s="50" t="s">
        <v>52</v>
      </c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</row>
  </sheetData>
  <mergeCells count="15">
    <mergeCell ref="A33:R33"/>
    <mergeCell ref="A27:F27"/>
    <mergeCell ref="A32:R32"/>
    <mergeCell ref="A36:R36"/>
    <mergeCell ref="A1:R1"/>
    <mergeCell ref="A26:F26"/>
    <mergeCell ref="A31:R31"/>
    <mergeCell ref="H28:R28"/>
    <mergeCell ref="A34:R34"/>
    <mergeCell ref="A35:R35"/>
    <mergeCell ref="H27:R27"/>
    <mergeCell ref="A30:R30"/>
    <mergeCell ref="H26:R26"/>
    <mergeCell ref="A28:F28"/>
    <mergeCell ref="A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"/>
  <sheetViews>
    <sheetView workbookViewId="0">
      <selection sqref="A1:G1"/>
    </sheetView>
  </sheetViews>
  <sheetFormatPr baseColWidth="10" defaultColWidth="8.83203125" defaultRowHeight="15" x14ac:dyDescent="0.2"/>
  <cols>
    <col min="1" max="1" width="12" customWidth="1"/>
    <col min="2" max="3" width="20" customWidth="1"/>
    <col min="4" max="4" width="16" customWidth="1"/>
    <col min="5" max="5" width="14" customWidth="1"/>
    <col min="6" max="6" width="38" customWidth="1"/>
    <col min="7" max="7" width="5" customWidth="1"/>
  </cols>
  <sheetData>
    <row r="1" spans="1:7" ht="26" customHeight="1" x14ac:dyDescent="0.2">
      <c r="A1" s="52" t="s">
        <v>54</v>
      </c>
      <c r="B1" s="47"/>
      <c r="C1" s="47"/>
      <c r="D1" s="47"/>
      <c r="E1" s="47"/>
      <c r="F1" s="47"/>
      <c r="G1" s="47"/>
    </row>
    <row r="2" spans="1:7" ht="8" customHeight="1" x14ac:dyDescent="0.2"/>
    <row r="3" spans="1:7" ht="32" customHeight="1" x14ac:dyDescent="0.2">
      <c r="A3" s="1" t="s">
        <v>55</v>
      </c>
      <c r="B3" s="1" t="s">
        <v>56</v>
      </c>
      <c r="C3" s="1" t="s">
        <v>57</v>
      </c>
      <c r="D3" s="1" t="s">
        <v>58</v>
      </c>
      <c r="E3" s="1" t="s">
        <v>59</v>
      </c>
      <c r="F3" s="1" t="s">
        <v>60</v>
      </c>
    </row>
    <row r="4" spans="1:7" x14ac:dyDescent="0.2">
      <c r="A4" s="2" t="s">
        <v>61</v>
      </c>
      <c r="B4" s="43">
        <v>74.3</v>
      </c>
      <c r="C4" s="26">
        <f>Hombres!G26</f>
        <v>77.649616192498797</v>
      </c>
      <c r="D4" s="29">
        <f>C4-B4</f>
        <v>3.3496161924988002</v>
      </c>
      <c r="E4" s="44">
        <f>(C4-B4)/B4</f>
        <v>4.5082317530266494E-2</v>
      </c>
      <c r="F4" s="55" t="s">
        <v>62</v>
      </c>
      <c r="G4" s="47"/>
    </row>
    <row r="5" spans="1:7" x14ac:dyDescent="0.2">
      <c r="A5" s="31" t="s">
        <v>63</v>
      </c>
      <c r="B5" s="45">
        <v>81.400000000000006</v>
      </c>
      <c r="C5" s="42">
        <f>Mujeres!G26</f>
        <v>82.674535789189335</v>
      </c>
      <c r="D5" s="29">
        <f>C5-B5</f>
        <v>1.2745357891893292</v>
      </c>
      <c r="E5" s="44">
        <f>(C5-B5)/B5</f>
        <v>1.5657687827878734E-2</v>
      </c>
      <c r="F5" s="56" t="s">
        <v>64</v>
      </c>
      <c r="G5" s="47"/>
    </row>
  </sheetData>
  <mergeCells count="3">
    <mergeCell ref="F4:G4"/>
    <mergeCell ref="A1:G1"/>
    <mergeCell ref="F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Hombres</vt:lpstr>
      <vt:lpstr>Mujeres</vt:lpstr>
      <vt:lpstr>Comparativo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Iván Aguilar Celis</cp:lastModifiedBy>
  <dcterms:created xsi:type="dcterms:W3CDTF">2026-06-02T13:45:10Z</dcterms:created>
  <dcterms:modified xsi:type="dcterms:W3CDTF">2026-06-02T13:50:42Z</dcterms:modified>
</cp:coreProperties>
</file>